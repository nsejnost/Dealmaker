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sejnost\Desktop\"/>
    </mc:Choice>
  </mc:AlternateContent>
  <xr:revisionPtr revIDLastSave="0" documentId="8_{9AD26ABF-1921-4631-B6F5-904D08BC8D7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CL Model" sheetId="6" r:id="rId1"/>
  </sheets>
  <definedNames>
    <definedName name="_xlpm._W14" hidden="1" xlm="1">#NAME?</definedName>
    <definedName name="_xlpm._W15" hidden="1" xlm="1">#NAME?</definedName>
    <definedName name="_xlpm._W16" hidden="1" xlm="1">#NAME?</definedName>
    <definedName name="_xlpm.a" hidden="1" xlm="1">#NAME?</definedName>
    <definedName name="_xlpm.accum" hidden="1" xlm="1">#NAME?</definedName>
    <definedName name="_xlpm.amortwam" hidden="1" xlm="1">#NAME?</definedName>
    <definedName name="_xlpm.AnnYld" hidden="1" xlm="1">#NAME?</definedName>
    <definedName name="_xlpm.AnnYld0" hidden="1" xlm="1">#NAME?</definedName>
    <definedName name="_xlpm.AnnYldDn" hidden="1" xlm="1">#NAME?</definedName>
    <definedName name="_xlpm.AnnYldUp" hidden="1" xlm="1">#NAME?</definedName>
    <definedName name="_xlpm.b" hidden="1" xlm="1">#NAME?</definedName>
    <definedName name="_xlpm.balloon" hidden="1" xlm="1">#NAME?</definedName>
    <definedName name="_xlpm.balloonpay" hidden="1" xlm="1">#NAME?</definedName>
    <definedName name="_xlpm.begbal" hidden="1" xlm="1">#NAME?</definedName>
    <definedName name="_xlpm.BEY" hidden="1" xlm="1">#NAME?</definedName>
    <definedName name="_xlpm.cf" hidden="1" xlm="1">#NAME?</definedName>
    <definedName name="_xlpm.cfdt" hidden="1" xlm="1">#NAME?</definedName>
    <definedName name="_xlpm.cl" hidden="1" xlm="1">#NAME?</definedName>
    <definedName name="_xlpm.currbal" hidden="1" xlm="1">#NAME?</definedName>
    <definedName name="_xlpm.delay" hidden="1" xlm="1">#NAME?</definedName>
    <definedName name="_xlpm.dt" hidden="1" xlm="1">#NAME?</definedName>
    <definedName name="_xlpm.dy" hidden="1" xlm="1">#NAME?</definedName>
    <definedName name="_xlpm.endbal" hidden="1" xlm="1">#NAME?</definedName>
    <definedName name="_xlpm.gr" hidden="1" xlm="1">#NAME?</definedName>
    <definedName name="_xlpm.guess" hidden="1" xlm="1">#NAME?</definedName>
    <definedName name="_xlpm.gwac" hidden="1" xlm="1">#NAME?</definedName>
    <definedName name="_xlpm.i" hidden="1" xlm="1">#NAME?</definedName>
    <definedName name="_xlpm.intagy" hidden="1" xlm="1">#NAME?</definedName>
    <definedName name="_xlpm.intinv" hidden="1" xlm="1">#NAME?</definedName>
    <definedName name="_xlpm.io" hidden="1" xlm="1">#NAME?</definedName>
    <definedName name="_xlpm.k" hidden="1" xlm="1">#NAME?</definedName>
    <definedName name="_xlpm.mo" hidden="1" xlm="1">#NAME?</definedName>
    <definedName name="_xlpm.netflow" hidden="1" xlm="1">#NAME?</definedName>
    <definedName name="_xlpm.netprn" hidden="1" xlm="1">#NAME?</definedName>
    <definedName name="_xlpm.new" hidden="1" xlm="1">#NAME?</definedName>
    <definedName name="_xlpm.nr" hidden="1" xlm="1">#NAME?</definedName>
    <definedName name="_xlpm.nwac" hidden="1" xlm="1">#NAME?</definedName>
    <definedName name="_xlpm.origbal" hidden="1" xlm="1">#NAME?</definedName>
    <definedName name="_xlpm.P0" hidden="1" xlm="1">#NAME?</definedName>
    <definedName name="_xlpm.Pdn" hidden="1" xlm="1">#NAME?</definedName>
    <definedName name="_xlpm.pmt" hidden="1" xlm="1">#NAME?</definedName>
    <definedName name="_xlpm.pmtagy" hidden="1" xlm="1">#NAME?</definedName>
    <definedName name="_xlpm.Pup" hidden="1" xlm="1">#NAME?</definedName>
    <definedName name="_xlpm.pv" hidden="1" xlm="1">#NAME?</definedName>
    <definedName name="_xlpm.pv0" hidden="1" xlm="1">#NAME?</definedName>
    <definedName name="_xlpm.regprn" hidden="1" xlm="1">#NAME?</definedName>
    <definedName name="_xlpm.rembal" hidden="1" xlm="1">#NAME?</definedName>
    <definedName name="_xlpm.remio" hidden="1" xlm="1">#NAME?</definedName>
    <definedName name="_xlpm.remprn" hidden="1" xlm="1">#NAME?</definedName>
    <definedName name="_xlpm.row" hidden="1" xlm="1">#NAME?</definedName>
    <definedName name="_xlpm.rw" hidden="1" xlm="1">#NAME?</definedName>
    <definedName name="_xlpm.seas" hidden="1" xlm="1">#NAME?</definedName>
    <definedName name="_xlpm.settle" hidden="1" xlm="1">#NAME?</definedName>
    <definedName name="_xlpm.targetPV" hidden="1" xlm="1">#NAME?</definedName>
    <definedName name="_xlpm.tol" hidden="1" xlm="1">#NAME?</definedName>
    <definedName name="_xlpm.totmo" hidden="1" xlm="1">#NAME?</definedName>
    <definedName name="_xlpm.v_accrued" hidden="1" xlm="1">#NAME?</definedName>
    <definedName name="_xlpm.v_accrued2" hidden="1" xlm="1">#NAME?</definedName>
    <definedName name="_xlpm.v_AnnYld" hidden="1" xlm="1">#NAME?</definedName>
    <definedName name="_xlpm.v_AnnYld0" hidden="1" xlm="1">#NAME?</definedName>
    <definedName name="_xlpm.v_AnnYld2" hidden="1" xlm="1">#NAME?</definedName>
    <definedName name="_xlpm.v_AnnYldDn" hidden="1" xlm="1">#NAME?</definedName>
    <definedName name="_xlpm.v_AnnYldUp" hidden="1" xlm="1">#NAME?</definedName>
    <definedName name="_xlpm.v_BEY" hidden="1" xlm="1">#NAME?</definedName>
    <definedName name="_xlpm.v_BEY2" hidden="1" xlm="1">#NAME?</definedName>
    <definedName name="_xlpm.v_c" hidden="1" xlm="1">#NAME?</definedName>
    <definedName name="_xlpm.v_cf" hidden="1" xlm="1">#NAME?</definedName>
    <definedName name="_xlpm.v_cf2" hidden="1" xlm="1">#NAME?</definedName>
    <definedName name="_xlpm.v_cfdt" hidden="1" xlm="1">#NAME?</definedName>
    <definedName name="_xlpm.v_cfdt2" hidden="1" xlm="1">#NAME?</definedName>
    <definedName name="_xlpm.v_cftbl" hidden="1" xlm="1">#NAME?</definedName>
    <definedName name="_xlpm.v_cftbl2" hidden="1" xlm="1">#NAME?</definedName>
    <definedName name="_xlpm.v_col" hidden="1" xlm="1">#NAME?</definedName>
    <definedName name="_xlpm.v_Coupon" hidden="1" xlm="1">#NAME?</definedName>
    <definedName name="_xlpm.v_dc" hidden="1" xlm="1">#NAME?</definedName>
    <definedName name="_xlpm.v_deriv" hidden="1" xlm="1">#NAME?</definedName>
    <definedName name="_xlpm.v_deriv2" hidden="1" xlm="1">#NAME?</definedName>
    <definedName name="_xlpm.v_dirty" hidden="1" xlm="1">#NAME?</definedName>
    <definedName name="_xlpm.v_dSpd" hidden="1" xlm="1">#NAME?</definedName>
    <definedName name="_xlpm.v_dy" hidden="1" xlm="1">#NAME?</definedName>
    <definedName name="_xlpm.v_err" hidden="1" xlm="1">#NAME?</definedName>
    <definedName name="_xlpm.v_gwac" hidden="1" xlm="1">#NAME?</definedName>
    <definedName name="_xlpm.v_gwac2" hidden="1" xlm="1">#NAME?</definedName>
    <definedName name="_xlpm.v_i" hidden="1" xlm="1">#NAME?</definedName>
    <definedName name="_xlpm.v_j" hidden="1" xlm="1">#NAME?</definedName>
    <definedName name="_xlpm.v_k" hidden="1" xlm="1">#NAME?</definedName>
    <definedName name="_xlpm.v_netprn" hidden="1" xlm="1">#NAME?</definedName>
    <definedName name="_xlpm.v_netprn2" hidden="1" xlm="1">#NAME?</definedName>
    <definedName name="_xlpm.v_nwac" hidden="1" xlm="1">#NAME?</definedName>
    <definedName name="_xlpm.v_P0" hidden="1" xlm="1">#NAME?</definedName>
    <definedName name="_xlpm.v_Pdn" hidden="1" xlm="1">#NAME?</definedName>
    <definedName name="_xlpm.v_pos" hidden="1" xlm="1">#NAME?</definedName>
    <definedName name="_xlpm.v_pos2" hidden="1" xlm="1">#NAME?</definedName>
    <definedName name="_xlpm.v_price" hidden="1" xlm="1">#NAME?</definedName>
    <definedName name="_xlpm.v_Pup" hidden="1" xlm="1">#NAME?</definedName>
    <definedName name="_xlpm.v_pv" hidden="1" xlm="1">#NAME?</definedName>
    <definedName name="_xlpm.v_pv0" hidden="1" xlm="1">#NAME?</definedName>
    <definedName name="_xlpm.v_pv02" hidden="1" xlm="1">#NAME?</definedName>
    <definedName name="_xlpm.v_pv1" hidden="1" xlm="1">#NAME?</definedName>
    <definedName name="_xlpm.v_pv12" hidden="1" xlm="1">#NAME?</definedName>
    <definedName name="_xlpm.v_row" hidden="1" xlm="1">#NAME?</definedName>
    <definedName name="_xlpm.v_settle" hidden="1" xlm="1">#NAME?</definedName>
    <definedName name="_xlpm.v_Spd" hidden="1" xlm="1">#NAME?</definedName>
    <definedName name="_xlpm.v_Spd2" hidden="1" xlm="1">#NAME?</definedName>
    <definedName name="_xlpm.v_svc" hidden="1" xlm="1">#NAME?</definedName>
    <definedName name="_xlpm.v_target" hidden="1" xlm="1">#NAME?</definedName>
    <definedName name="_xlpm.v_target2" hidden="1" xlm="1">#NAME?</definedName>
    <definedName name="_xlpm.v_targetPV" hidden="1" xlm="1">#NAME?</definedName>
    <definedName name="_xlpm.v_targetSpd" hidden="1" xlm="1">#NAME?</definedName>
    <definedName name="_xlpm.v_tol" hidden="1" xlm="1">#NAME?</definedName>
    <definedName name="_xlpm.v_TsyRate" hidden="1" xlm="1">#NAME?</definedName>
    <definedName name="_xlpm.v_TsyRate2" hidden="1" xlm="1">#NAME?</definedName>
    <definedName name="_xlpm.v_WAL" hidden="1" xlm="1">#NAME?</definedName>
    <definedName name="_xlpm.v_WAL2" hidden="1" xlm="1">#NAME?</definedName>
    <definedName name="_xlpm.v_x1" hidden="1" xlm="1">#NAME?</definedName>
    <definedName name="_xlpm.v_x12" hidden="1" xlm="1">#NAME?</definedName>
    <definedName name="_xlpm.v_x2" hidden="1" xlm="1">#NAME?</definedName>
    <definedName name="_xlpm.v_x22" hidden="1" xlm="1">#NAME?</definedName>
    <definedName name="_xlpm.v_y" hidden="1" xlm="1">#NAME?</definedName>
    <definedName name="_xlpm.v_y1" hidden="1" xlm="1">#NAME?</definedName>
    <definedName name="_xlpm.v_y12" hidden="1" xlm="1">#NAME?</definedName>
    <definedName name="_xlpm.v_y2" hidden="1" xlm="1">#NAME?</definedName>
    <definedName name="_xlpm.v_y22" hidden="1" xlm="1">#NAME?</definedName>
    <definedName name="_xlpm.v_yf" hidden="1" xlm="1">#NAME?</definedName>
    <definedName name="_xlpm.v_yf2" hidden="1" xlm="1">#NAME?</definedName>
    <definedName name="_xlpm.vals" hidden="1" xlm="1">#NAME?</definedName>
    <definedName name="_xlpm.wam" hidden="1" xlm="1">#NAME?</definedName>
    <definedName name="_xlpm.x" hidden="1" xlm="1">#NAME?</definedName>
    <definedName name="_xlpm.y" hidden="1" xlm="1">#NAME?</definedName>
    <definedName name="_xlpm.yf" hidden="1" xlm="1">#NAME?</definedName>
    <definedName name="_xlpm.yrfrac" hidden="1" xlm="1">#NAME?</definedName>
    <definedName name="LoanAmortTbl">_xlfn.LAMBDA(_xlpm.settle,_xlpm.origbal,_xlpm.gwac,_xlpm.nwac,_xlpm.wam,_xlpm.amortwam,_xlpm.io,_xlpm.balloon,_xlpm.delay,_xlpm.seas,   _xlfn.MAKEARRAY(MAX(0,_xlpm.balloon-_xlpm.seas)+1,14,     _xlfn.LAMBDA(_xlpm.rw,_xlpm.cl,       _xlfn.LET(         _xlpm.mo,       _xlpm.rw-1,         _xlpm.tol,      0.000001,          _xlpm.gr,       _xlpm.gwac/12,         _xlpm.nr,       _xlpm.nwac/12,         _xlpm.rembal,   MAX(0,_xlpm.balloon-_xlpm.seas),         _xlpm.pmt,      PMT(_xlpm.gr,_xlpm.amortwam,-_xlpm.origbal),         _xlpm.totmo,    _xlpm.seas+_xlpm.mo,         _xlpm.k,        MAX(0,_xlpm.totmo-_xlpm.io-1),          _xlpm.begbal,   IF(_xlpm.totmo&lt;=_xlpm.io,                     _xlpm.origbal,                     IF(_xlpm.k=0,                       _xlpm.origbal,                       _xlpm.origbal*(1+_xlpm.gr)^_xlpm.k - _xlpm.pmt*((1+_xlpm.gr)^_xlpm.k-1)/_xlpm.gr)),          _xlpm.pmtagy,   IF(_xlpm.mo=0,                     0,                     IF(_xlpm.begbal&lt;_xlpm.tol,                       0,                       IF(_xlpm.totmo&lt;=_xlpm.io,_xlpm.begbal*_xlpm.gr,_xlpm.pmt))),          _xlpm.intinv,   IF(_xlpm.mo=0,0,IF(_xlpm.begbal&lt;_xlpm.tol,0,_xlpm.begbal*_xlpm.nr)),         _xlpm.intagy,   IF(_xlpm.mo=0,0,IF(_xlpm.begbal&lt;_xlpm.tol,0,_xlpm.begbal*_xlpm.gr)),          _xlpm.regprn,   IF(OR(_xlpm.mo=0,_xlpm.totmo&lt;=_xlpm.io,_xlpm.begbal&lt;_xlpm.tol),                     0,                     MAX(0,_xlpm.pmtagy-_xlpm.intagy)),          _xlpm.remprn,     _xlpm.begbal-_xlpm.regprn,         _xlpm.balloonpay, IF(_xlpm.mo=_xlpm.rembal,_xlpm.remprn,0),         _xlpm.endbal,     MAX(0,_xlpm.remprn-_xlpm.balloonpay),         _xlpm.netprn,     _xlpm.regprn+_xlpm.balloonpay,         _xlpm.netflow,    _xlpm.netprn+_xlpm.intinv,          _xlpm.dt,       IF(_xlpm.mo=0,_xlpm.settle,EDATE(_xlpm.settle,_xlpm.mo)),         _xlpm.cfdt,     IF(_xlpm.mo=0,_xlpm.settle,EOMONTH(_xlpm.settle,_xlpm.mo-1)+_xlpm.delay-29),         _xlpm.yrfrac,   IF(_xlpm.mo=0,0,_xlpm.mo/12),          CHOOSE(_xlpm.cl,           _xlpm.mo, _xlpm.dt, _xlpm.cfdt, _xlpm.yrfrac,           _xlpm.begbal, _xlpm.pmtagy, _xlpm.intinv, _xlpm.intagy,           _xlpm.regprn, _xlpm.remprn, _xlpm.balloonpay, _xlpm.endbal,           _xlpm.netprn, _xlpm.netflow         )       )     )   ) )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8" i="6" l="1"/>
  <c r="G17" i="6"/>
  <c r="G16" i="6"/>
  <c r="G15" i="6"/>
  <c r="I14" i="6"/>
  <c r="H14" i="6"/>
  <c r="F14" i="6"/>
  <c r="I13" i="6" a="1"/>
  <c r="I13" i="6" s="1"/>
  <c r="F19" i="6"/>
  <c r="F21" i="6" l="1"/>
  <c r="E32" i="6" a="1"/>
  <c r="F20" i="6"/>
  <c r="G14" i="6"/>
  <c r="E32" i="6" l="1"/>
  <c r="O30" i="6"/>
  <c r="J30" i="6"/>
  <c r="M30" i="6"/>
  <c r="R30" i="6"/>
  <c r="L30" i="6"/>
  <c r="Q30" i="6"/>
  <c r="K30" i="6"/>
  <c r="I15" i="6" l="1" a="1"/>
  <c r="I15" i="6" s="1"/>
  <c r="I19" i="6" s="1" a="1"/>
  <c r="I19" i="6" s="1"/>
  <c r="I17" i="6" a="1"/>
  <c r="I17" i="6" s="1"/>
  <c r="I21" i="6" a="1"/>
  <c r="I21" i="6" l="1"/>
  <c r="I18" i="6" a="1"/>
  <c r="I18" i="6" s="1"/>
  <c r="I20" i="6" s="1"/>
  <c r="I16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<sst xmlns="http://schemas.openxmlformats.org/spreadsheetml/2006/main" count="55" uniqueCount="47">
  <si>
    <t>Payment Information</t>
  </si>
  <si>
    <t>Amortization Information</t>
  </si>
  <si>
    <t>Dated Date</t>
  </si>
  <si>
    <t>Coupon (Net)</t>
  </si>
  <si>
    <t>1st Settle</t>
  </si>
  <si>
    <t>WAC (Gross)</t>
  </si>
  <si>
    <t>WAM</t>
  </si>
  <si>
    <t>Delay</t>
  </si>
  <si>
    <t>Original Face</t>
  </si>
  <si>
    <t>Amort WAM</t>
  </si>
  <si>
    <t>IO Period</t>
  </si>
  <si>
    <t>Seasoning (Mo)</t>
  </si>
  <si>
    <t>Balloon</t>
  </si>
  <si>
    <t>WAL</t>
  </si>
  <si>
    <t>Rem IO (Mo)</t>
  </si>
  <si>
    <t>Rem Balloon (Mo)</t>
  </si>
  <si>
    <t>Cashflow Table</t>
  </si>
  <si>
    <t>Month</t>
  </si>
  <si>
    <t>Date</t>
  </si>
  <si>
    <t>CF Date</t>
  </si>
  <si>
    <t>Year Frac</t>
  </si>
  <si>
    <t>Beg Bal</t>
  </si>
  <si>
    <t>Pmt to Agy</t>
  </si>
  <si>
    <t>Int to Inv</t>
  </si>
  <si>
    <t>Int to Agy</t>
  </si>
  <si>
    <t>Reg Prn</t>
  </si>
  <si>
    <t>Rem Prn</t>
  </si>
  <si>
    <t>End Bal</t>
  </si>
  <si>
    <t>Net Prn</t>
  </si>
  <si>
    <t>Net Flow</t>
  </si>
  <si>
    <t>-</t>
  </si>
  <si>
    <t>Term</t>
  </si>
  <si>
    <t>Price</t>
  </si>
  <si>
    <t>Pricing</t>
  </si>
  <si>
    <t>Settle Dt</t>
  </si>
  <si>
    <t>Modifed Duration</t>
  </si>
  <si>
    <t>Convexity</t>
  </si>
  <si>
    <t>Risk (dP/dY)</t>
  </si>
  <si>
    <t>Pricing Type</t>
  </si>
  <si>
    <t>Pricing Input</t>
  </si>
  <si>
    <t>Analytics</t>
  </si>
  <si>
    <t>Yield</t>
  </si>
  <si>
    <t>J-Spread</t>
  </si>
  <si>
    <t>Rate</t>
  </si>
  <si>
    <t>Curve Dt</t>
  </si>
  <si>
    <t>Tsy Rate @ WAL</t>
  </si>
  <si>
    <t>Tsy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</si>
</sst>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d/yyyy"/>
    <numFmt numFmtId="165" formatCode="#,##0.0000_);[Red]\(#,##0.0000\)"/>
    <numFmt numFmtId="166" formatCode="#,##0.000_);[Red]\(#,##0.000\)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FFCC00"/>
      <name val="Calibri"/>
      <family val="2"/>
    </font>
    <font>
      <b/>
      <sz val="10"/>
      <color theme="0"/>
      <name val="Calibri"/>
      <family val="2"/>
    </font>
    <font>
      <b/>
      <u/>
      <sz val="10"/>
      <color theme="0"/>
      <name val="Calibri"/>
      <family val="2"/>
    </font>
    <font>
      <b/>
      <u/>
      <sz val="10"/>
      <color theme="1"/>
      <name val="Calibri"/>
      <family val="2"/>
      <scheme val="minor"/>
    </font>
    <font>
      <b/>
      <i/>
      <sz val="10"/>
      <color theme="0" tint="-0.14999847407452621"/>
      <name val="Calibri"/>
      <family val="2"/>
    </font>
    <font>
      <sz val="10"/>
      <color rgb="FFFFCC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00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1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3" borderId="0" xfId="0" applyFont="1" applyFill="1"/>
    <xf numFmtId="40" fontId="3" fillId="3" borderId="0" xfId="0" applyNumberFormat="1" applyFont="1" applyFill="1" applyBorder="1" applyAlignment="1">
      <alignment horizontal="center"/>
    </xf>
    <xf numFmtId="38" fontId="3" fillId="3" borderId="0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4" fontId="1" fillId="3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38" fontId="1" fillId="3" borderId="0" xfId="0" applyNumberFormat="1" applyFont="1" applyFill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14" fontId="1" fillId="0" borderId="0" xfId="0" applyNumberFormat="1" applyFont="1" applyFill="1" applyAlignment="1">
      <alignment horizontal="center"/>
    </xf>
    <xf numFmtId="165" fontId="1" fillId="0" borderId="0" xfId="0" applyNumberFormat="1" applyFont="1" applyFill="1" applyAlignment="1">
      <alignment horizontal="center"/>
    </xf>
    <xf numFmtId="38" fontId="1" fillId="0" borderId="0" xfId="0" applyNumberFormat="1" applyFont="1" applyFill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10" fontId="2" fillId="4" borderId="1" xfId="0" applyNumberFormat="1" applyFont="1" applyFill="1" applyBorder="1" applyAlignment="1">
      <alignment horizontal="center"/>
    </xf>
    <xf numFmtId="38" fontId="7" fillId="3" borderId="0" xfId="0" applyNumberFormat="1" applyFont="1" applyFill="1" applyBorder="1" applyAlignment="1">
      <alignment horizontal="center"/>
    </xf>
    <xf numFmtId="14" fontId="3" fillId="3" borderId="0" xfId="0" applyNumberFormat="1" applyFont="1" applyFill="1" applyBorder="1" applyAlignment="1">
      <alignment horizontal="center"/>
    </xf>
    <xf numFmtId="0" fontId="1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left"/>
    </xf>
    <xf numFmtId="0" fontId="3" fillId="3" borderId="17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164" fontId="2" fillId="4" borderId="7" xfId="0" applyNumberFormat="1" applyFont="1" applyFill="1" applyBorder="1" applyAlignment="1">
      <alignment horizontal="center"/>
    </xf>
    <xf numFmtId="3" fontId="2" fillId="4" borderId="12" xfId="0" applyNumberFormat="1" applyFont="1" applyFill="1" applyBorder="1" applyAlignment="1">
      <alignment horizontal="center"/>
    </xf>
    <xf numFmtId="0" fontId="3" fillId="3" borderId="13" xfId="0" applyFont="1" applyFill="1" applyBorder="1" applyAlignment="1">
      <alignment horizontal="left"/>
    </xf>
    <xf numFmtId="10" fontId="2" fillId="4" borderId="23" xfId="0" applyNumberFormat="1" applyFont="1" applyFill="1" applyBorder="1" applyAlignment="1">
      <alignment horizontal="center"/>
    </xf>
    <xf numFmtId="38" fontId="7" fillId="3" borderId="15" xfId="0" applyNumberFormat="1" applyFont="1" applyFill="1" applyBorder="1" applyAlignment="1">
      <alignment horizontal="center" vertical="center" wrapText="1"/>
    </xf>
    <xf numFmtId="38" fontId="7" fillId="3" borderId="17" xfId="0" applyNumberFormat="1" applyFont="1" applyFill="1" applyBorder="1" applyAlignment="1">
      <alignment horizontal="center" vertical="center" wrapText="1"/>
    </xf>
    <xf numFmtId="38" fontId="7" fillId="3" borderId="17" xfId="0" applyNumberFormat="1" applyFont="1" applyFill="1" applyBorder="1" applyAlignment="1">
      <alignment horizontal="center"/>
    </xf>
    <xf numFmtId="0" fontId="3" fillId="3" borderId="16" xfId="0" applyFont="1" applyFill="1" applyBorder="1" applyAlignment="1"/>
    <xf numFmtId="38" fontId="7" fillId="3" borderId="17" xfId="0" applyNumberFormat="1" applyFont="1" applyFill="1" applyBorder="1" applyAlignment="1"/>
    <xf numFmtId="0" fontId="3" fillId="3" borderId="18" xfId="0" applyFont="1" applyFill="1" applyBorder="1" applyAlignment="1"/>
    <xf numFmtId="38" fontId="7" fillId="3" borderId="24" xfId="0" applyNumberFormat="1" applyFont="1" applyFill="1" applyBorder="1" applyAlignment="1">
      <alignment horizontal="center"/>
    </xf>
    <xf numFmtId="38" fontId="7" fillId="3" borderId="19" xfId="0" applyNumberFormat="1" applyFont="1" applyFill="1" applyBorder="1" applyAlignment="1"/>
    <xf numFmtId="40" fontId="3" fillId="3" borderId="17" xfId="0" applyNumberFormat="1" applyFont="1" applyFill="1" applyBorder="1" applyAlignment="1">
      <alignment horizontal="center"/>
    </xf>
    <xf numFmtId="40" fontId="3" fillId="3" borderId="19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40" fontId="3" fillId="3" borderId="16" xfId="0" applyNumberFormat="1" applyFont="1" applyFill="1" applyBorder="1" applyAlignment="1">
      <alignment horizontal="center"/>
    </xf>
    <xf numFmtId="40" fontId="3" fillId="3" borderId="18" xfId="0" applyNumberFormat="1" applyFont="1" applyFill="1" applyBorder="1" applyAlignment="1">
      <alignment horizontal="center"/>
    </xf>
    <xf numFmtId="40" fontId="3" fillId="3" borderId="24" xfId="0" applyNumberFormat="1" applyFont="1" applyFill="1" applyBorder="1" applyAlignment="1">
      <alignment horizontal="center"/>
    </xf>
    <xf numFmtId="38" fontId="8" fillId="3" borderId="0" xfId="0" applyNumberFormat="1" applyFont="1" applyFill="1"/>
    <xf numFmtId="38" fontId="6" fillId="0" borderId="0" xfId="0" applyNumberFormat="1" applyFont="1" applyFill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38" fontId="1" fillId="0" borderId="2" xfId="0" applyNumberFormat="1" applyFont="1" applyFill="1" applyBorder="1" applyAlignment="1">
      <alignment horizontal="left"/>
    </xf>
    <xf numFmtId="38" fontId="1" fillId="0" borderId="8" xfId="0" applyNumberFormat="1" applyFont="1" applyFill="1" applyBorder="1" applyAlignment="1">
      <alignment horizontal="left"/>
    </xf>
    <xf numFmtId="38" fontId="1" fillId="0" borderId="9" xfId="0" applyNumberFormat="1" applyFont="1" applyFill="1" applyBorder="1" applyAlignment="1">
      <alignment horizontal="left"/>
    </xf>
    <xf numFmtId="38" fontId="1" fillId="0" borderId="4" xfId="0" applyNumberFormat="1" applyFont="1" applyFill="1" applyBorder="1" applyAlignment="1">
      <alignment horizontal="left"/>
    </xf>
    <xf numFmtId="38" fontId="1" fillId="0" borderId="0" xfId="0" applyNumberFormat="1" applyFont="1" applyFill="1" applyBorder="1" applyAlignment="1">
      <alignment horizontal="left"/>
    </xf>
    <xf numFmtId="38" fontId="1" fillId="0" borderId="10" xfId="0" applyNumberFormat="1" applyFont="1" applyFill="1" applyBorder="1" applyAlignment="1">
      <alignment horizontal="left"/>
    </xf>
    <xf numFmtId="38" fontId="1" fillId="0" borderId="3" xfId="0" applyNumberFormat="1" applyFont="1" applyFill="1" applyBorder="1" applyAlignment="1">
      <alignment horizontal="left"/>
    </xf>
    <xf numFmtId="38" fontId="1" fillId="0" borderId="5" xfId="0" applyNumberFormat="1" applyFont="1" applyFill="1" applyBorder="1" applyAlignment="1">
      <alignment horizontal="left"/>
    </xf>
    <xf numFmtId="38" fontId="1" fillId="0" borderId="11" xfId="0" applyNumberFormat="1" applyFont="1" applyFill="1" applyBorder="1" applyAlignment="1">
      <alignment horizontal="left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2" fontId="2" fillId="4" borderId="25" xfId="0" applyNumberFormat="1" applyFont="1" applyFill="1" applyBorder="1" applyAlignment="1">
      <alignment horizontal="center"/>
    </xf>
    <xf numFmtId="1" fontId="2" fillId="4" borderId="26" xfId="0" applyNumberFormat="1" applyFont="1" applyFill="1" applyBorder="1" applyAlignment="1">
      <alignment horizontal="center"/>
    </xf>
    <xf numFmtId="164" fontId="2" fillId="4" borderId="26" xfId="0" applyNumberFormat="1" applyFont="1" applyFill="1" applyBorder="1" applyAlignment="1">
      <alignment horizontal="center"/>
    </xf>
    <xf numFmtId="164" fontId="2" fillId="4" borderId="2" xfId="0" applyNumberFormat="1" applyFont="1" applyFill="1" applyBorder="1" applyAlignment="1">
      <alignment horizontal="center"/>
    </xf>
    <xf numFmtId="165" fontId="3" fillId="3" borderId="14" xfId="0" quotePrefix="1" applyNumberFormat="1" applyFont="1" applyFill="1" applyBorder="1" applyAlignment="1">
      <alignment horizontal="center"/>
    </xf>
    <xf numFmtId="165" fontId="3" fillId="3" borderId="0" xfId="0" quotePrefix="1" applyNumberFormat="1" applyFont="1" applyFill="1" applyBorder="1" applyAlignment="1">
      <alignment horizontal="center"/>
    </xf>
    <xf numFmtId="166" fontId="3" fillId="3" borderId="0" xfId="0" quotePrefix="1" applyNumberFormat="1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1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9B48D5D-F6D1-42EB-8C4C-60FB68050810}">
  <we:reference id="wa200003696" version="1.3.0.0" store="en-US" storeType="OMEX"/>
  <we:alternateReferences>
    <we:reference id="wa200003696" version="1.3.0.0" store="en-US" storeType="OMEX"/>
  </we:alternateReferences>
  <we:properties>
    <we:property name="projectV0_1-56c6e055-265e-4713-816e-a646dbb708de" value="{&quot;kind&quot;:&quot;AFEJSONBlobNode&quot;,&quot;id&quot;:&quot;{F57867D6-1FFE-4B2D-83C9-A79DF776B8A2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6E211-4DDF-4200-B58B-520ED8C7E00D}">
  <dimension ref="A1:AV2505"/>
  <sheetViews>
    <sheetView showGridLines="0" tabSelected="1" topLeftCell="D6" zoomScaleNormal="100" workbookViewId="0">
      <selection activeCell="L19" sqref="L19"/>
    </sheetView>
  </sheetViews>
  <sheetFormatPr defaultRowHeight="13.8" outlineLevelRow="1" outlineLevelCol="1" x14ac:dyDescent="0.3"/>
  <cols>
    <col min="1" max="1" width="8.88671875" style="11" hidden="1" customWidth="1" outlineLevel="1"/>
    <col min="2" max="2" width="15.6640625" style="11" hidden="1" customWidth="1" outlineLevel="1"/>
    <col min="3" max="3" width="8.88671875" style="11" hidden="1" customWidth="1" outlineLevel="1"/>
    <col min="4" max="4" width="2.109375" style="11" customWidth="1" collapsed="1"/>
    <col min="5" max="5" width="15.33203125" style="12" bestFit="1" customWidth="1"/>
    <col min="6" max="6" width="10.33203125" style="13" customWidth="1"/>
    <col min="7" max="7" width="11.33203125" style="13" customWidth="1"/>
    <col min="8" max="8" width="15.109375" style="14" bestFit="1" customWidth="1"/>
    <col min="9" max="9" width="12" style="15" customWidth="1"/>
    <col min="10" max="10" width="9.77734375" style="15" customWidth="1"/>
    <col min="11" max="11" width="12" style="15" customWidth="1"/>
    <col min="12" max="12" width="8.6640625" style="15" bestFit="1" customWidth="1"/>
    <col min="13" max="13" width="7.109375" style="15" bestFit="1" customWidth="1"/>
    <col min="14" max="14" width="9.44140625" style="15" bestFit="1" customWidth="1"/>
    <col min="15" max="15" width="8" style="15" bestFit="1" customWidth="1"/>
    <col min="16" max="18" width="9.44140625" style="15" bestFit="1" customWidth="1"/>
    <col min="19" max="16384" width="8.88671875" style="11"/>
  </cols>
  <sheetData>
    <row r="1" spans="2:48" hidden="1" outlineLevel="1" x14ac:dyDescent="0.3">
      <c r="M1" s="45"/>
      <c r="N1" s="45"/>
      <c r="O1" s="45"/>
      <c r="P1" s="45"/>
    </row>
    <row r="2" spans="2:48" hidden="1" outlineLevel="1" x14ac:dyDescent="0.3">
      <c r="M2" s="47"/>
      <c r="N2" s="48"/>
      <c r="O2" s="49"/>
      <c r="P2" s="1"/>
    </row>
    <row r="3" spans="2:48" hidden="1" outlineLevel="1" x14ac:dyDescent="0.3">
      <c r="M3" s="50"/>
      <c r="N3" s="51"/>
      <c r="O3" s="52"/>
      <c r="P3" s="2"/>
    </row>
    <row r="4" spans="2:48" hidden="1" outlineLevel="1" x14ac:dyDescent="0.3">
      <c r="M4" s="53"/>
      <c r="N4" s="54"/>
      <c r="O4" s="55"/>
      <c r="P4" s="3"/>
    </row>
    <row r="5" spans="2:48" hidden="1" outlineLevel="1" x14ac:dyDescent="0.3"/>
    <row r="6" spans="2:48" ht="17.399999999999999" customHeight="1" collapsed="1" x14ac:dyDescent="0.3">
      <c r="D6" s="4"/>
      <c r="E6" s="7"/>
      <c r="F6" s="8"/>
      <c r="G6" s="8"/>
      <c r="H6" s="9"/>
      <c r="I6" s="10"/>
      <c r="J6" s="6"/>
      <c r="K6" s="6"/>
      <c r="L6" s="6"/>
      <c r="M6" s="6"/>
      <c r="N6" s="6"/>
      <c r="O6" s="6"/>
      <c r="P6" s="6"/>
      <c r="Q6" s="6"/>
      <c r="R6" s="10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</row>
    <row r="7" spans="2:48" x14ac:dyDescent="0.3">
      <c r="D7" s="4"/>
      <c r="E7" s="56" t="s">
        <v>0</v>
      </c>
      <c r="F7" s="57"/>
      <c r="G7" s="58"/>
      <c r="H7" s="56" t="s">
        <v>33</v>
      </c>
      <c r="I7" s="57"/>
      <c r="J7" s="56" t="s">
        <v>46</v>
      </c>
      <c r="K7" s="58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</row>
    <row r="8" spans="2:48" ht="14.4" customHeight="1" x14ac:dyDescent="0.3">
      <c r="B8" s="1"/>
      <c r="D8" s="4"/>
      <c r="E8" s="23" t="s">
        <v>2</v>
      </c>
      <c r="F8" s="26">
        <v>46082</v>
      </c>
      <c r="G8" s="24"/>
      <c r="H8" s="28" t="s">
        <v>39</v>
      </c>
      <c r="I8" s="59">
        <v>100</v>
      </c>
      <c r="J8" s="40" t="s">
        <v>31</v>
      </c>
      <c r="K8" s="66" t="s">
        <v>43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</row>
    <row r="9" spans="2:48" ht="13.8" customHeight="1" x14ac:dyDescent="0.3">
      <c r="B9" s="2"/>
      <c r="D9" s="4"/>
      <c r="E9" s="23" t="s">
        <v>4</v>
      </c>
      <c r="F9" s="16">
        <v>46082</v>
      </c>
      <c r="G9" s="24"/>
      <c r="H9" s="23" t="s">
        <v>38</v>
      </c>
      <c r="I9" s="60" t="s">
        <v>32</v>
      </c>
      <c r="J9" s="41">
        <v>8.3333333333333329E-2</v>
      </c>
      <c r="K9" s="38">
        <v>3.5640000000000001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</row>
    <row r="10" spans="2:48" x14ac:dyDescent="0.3">
      <c r="B10" s="2"/>
      <c r="D10" s="4"/>
      <c r="E10" s="23" t="s">
        <v>7</v>
      </c>
      <c r="F10" s="17">
        <v>44</v>
      </c>
      <c r="G10" s="24"/>
      <c r="H10" s="23" t="s">
        <v>34</v>
      </c>
      <c r="I10" s="61">
        <v>46084</v>
      </c>
      <c r="J10" s="41">
        <v>0.16666666666666666</v>
      </c>
      <c r="K10" s="38">
        <v>3.698</v>
      </c>
      <c r="L10" s="4"/>
      <c r="M10" s="4"/>
      <c r="N10" s="4"/>
      <c r="O10" s="4"/>
      <c r="P10" s="4"/>
      <c r="Q10" s="4"/>
      <c r="R10" s="4"/>
      <c r="S10" s="4"/>
      <c r="T10" s="44"/>
      <c r="U10" s="44"/>
      <c r="V10" s="44"/>
      <c r="W10" s="44"/>
      <c r="X10" s="4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</row>
    <row r="11" spans="2:48" x14ac:dyDescent="0.3">
      <c r="B11" s="2"/>
      <c r="D11" s="4"/>
      <c r="E11" s="23" t="s">
        <v>8</v>
      </c>
      <c r="F11" s="27">
        <v>1000000</v>
      </c>
      <c r="G11" s="24"/>
      <c r="H11" s="23" t="s">
        <v>44</v>
      </c>
      <c r="I11" s="62">
        <v>46084</v>
      </c>
      <c r="J11" s="41">
        <v>0.25</v>
      </c>
      <c r="K11" s="38">
        <v>3.6819999999999999</v>
      </c>
      <c r="L11" s="4"/>
      <c r="M11" s="4"/>
      <c r="N11" s="4"/>
      <c r="O11" s="4"/>
      <c r="P11" s="4"/>
      <c r="Q11" s="4"/>
      <c r="R11" s="4"/>
      <c r="S11" s="4"/>
      <c r="T11" s="44"/>
      <c r="U11" s="44"/>
      <c r="V11" s="44"/>
      <c r="W11" s="44"/>
      <c r="X11" s="4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</row>
    <row r="12" spans="2:48" x14ac:dyDescent="0.3">
      <c r="B12" s="2"/>
      <c r="D12" s="4"/>
      <c r="E12" s="56" t="s">
        <v>1</v>
      </c>
      <c r="F12" s="57"/>
      <c r="G12" s="58"/>
      <c r="H12" s="56" t="s">
        <v>40</v>
      </c>
      <c r="I12" s="57"/>
      <c r="J12" s="41">
        <v>0.33333333333333331</v>
      </c>
      <c r="K12" s="38">
        <v>3.673</v>
      </c>
      <c r="L12" s="4"/>
      <c r="M12" s="4"/>
      <c r="N12" s="4"/>
      <c r="O12" s="4"/>
      <c r="P12" s="4"/>
      <c r="Q12" s="4"/>
      <c r="R12" s="4"/>
      <c r="S12" s="4"/>
      <c r="T12" s="44"/>
      <c r="U12" s="44"/>
      <c r="V12" s="44"/>
      <c r="W12" s="44"/>
      <c r="X12" s="4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</row>
    <row r="13" spans="2:48" x14ac:dyDescent="0.3">
      <c r="B13" s="2"/>
      <c r="D13" s="4"/>
      <c r="E13" s="28" t="s">
        <v>3</v>
      </c>
      <c r="F13" s="29">
        <v>0.05</v>
      </c>
      <c r="G13" s="30"/>
      <c r="H13" s="28" t="s">
        <v>32</v>
      </c>
      <c r="I13" s="63" cm="1">
        <f t="array" ref="I13">IF($I$9="Price",$I$8,_xlfn.LET(_xlpm.v_cf,INDEX(_xlfn.ANCHORARRAY($E$32),,14),_xlpm.v_cfdt,INDEX(_xlfn.ANCHORARRAY($E$32),,3),_xlpm.v_yf,DAYS360($I$10,_xlpm.v_cfdt,FALSE)/360,_xlpm.v_BEY,$I$15/100,_xlpm.v_AnnYld,(1+_xlpm.v_BEY/2)^2-1,_xlpm.v_dirty,SUMPRODUCT(_xlpm.v_cf/(1+_xlpm.v_AnnYld)^_xlpm.v_yf),_xlpm.v_accrued,$I$14,(_xlpm.v_dirty/$F$11*100)-_xlpm.v_accrued))</f>
        <v>100</v>
      </c>
      <c r="J13" s="41">
        <v>0.5</v>
      </c>
      <c r="K13" s="38">
        <v>3.633</v>
      </c>
      <c r="L13" s="4"/>
      <c r="M13" s="4"/>
      <c r="N13" s="4"/>
      <c r="O13" s="4"/>
      <c r="P13" s="4"/>
      <c r="Q13" s="4"/>
      <c r="R13" s="4"/>
      <c r="S13" s="4"/>
      <c r="T13" s="44"/>
      <c r="U13" s="44"/>
      <c r="V13" s="44"/>
      <c r="W13" s="44"/>
      <c r="X13" s="4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</row>
    <row r="14" spans="2:48" x14ac:dyDescent="0.3">
      <c r="B14" s="2"/>
      <c r="D14" s="4"/>
      <c r="E14" s="23" t="s">
        <v>5</v>
      </c>
      <c r="F14" s="18">
        <f>F13+0.25%</f>
        <v>5.2500000000000005E-2</v>
      </c>
      <c r="G14" s="31" t="str">
        <f>TEXT((F14-F13)*10000,"0")&amp;" Bp Fee"</f>
        <v>25 Bp Fee</v>
      </c>
      <c r="H14" s="23" t="str">
        <f>"Accrued ("&amp;DAYS360(DATE(YEAR($I$10),MONTH($I$10),1),$I$10,FALSE)&amp;" Days)"</f>
        <v>Accrued (2 Days)</v>
      </c>
      <c r="I14" s="64">
        <f>$F$13*100*DAYS360(DATE(YEAR($I$10),MONTH($I$10),1),$I$10,FALSE)/360</f>
        <v>2.7777777777777776E-2</v>
      </c>
      <c r="J14" s="41">
        <v>1</v>
      </c>
      <c r="K14" s="38">
        <v>3.5640000000000001</v>
      </c>
      <c r="L14" s="4"/>
      <c r="M14" s="4"/>
      <c r="N14" s="4"/>
      <c r="O14" s="4"/>
      <c r="P14" s="4"/>
      <c r="Q14" s="4"/>
      <c r="R14" s="4"/>
      <c r="S14" s="4"/>
      <c r="T14" s="44"/>
      <c r="U14" s="44"/>
      <c r="V14" s="44"/>
      <c r="W14" s="44"/>
      <c r="X14" s="4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</row>
    <row r="15" spans="2:48" ht="14.4" customHeight="1" x14ac:dyDescent="0.3">
      <c r="B15" s="2"/>
      <c r="D15" s="4"/>
      <c r="E15" s="23" t="s">
        <v>6</v>
      </c>
      <c r="F15" s="17">
        <v>480</v>
      </c>
      <c r="G15" s="32" t="str">
        <f>ROUNDDOWN(F15/12,0)&amp;"Yr "&amp;MOD(F15,12)&amp;"Mo"</f>
        <v>40Yr 0Mo</v>
      </c>
      <c r="H15" s="23" t="s">
        <v>41</v>
      </c>
      <c r="I15" s="65" cm="1">
        <f t="array" ref="I15">IF($I$9="Yield",$I$8,IF($I$9="J-Spread",$I$21+$I$8/100,_xlfn.LET(_xlpm.v_cf,INDEX(_xlfn.ANCHORARRAY($E$32),,14),_xlpm.v_cfdt,INDEX(_xlfn.ANCHORARRAY($E$32),,3),_xlpm.v_yf,DAYS360($I$10,_xlpm.v_cfdt,FALSE)/360,_xlpm.v_accrued,$I$14,_xlpm.v_target,($I$8+_xlpm.v_accrued)/100*$F$11,_xlpm.v_AnnYld,_xlfn.REDUCE(0.05,_xlfn.SEQUENCE(30),_xlfn.LAMBDA(_xlpm.v_y,_xlpm.v_i,_xlfn.LET(_xlpm.v_pv0,SUMPRODUCT(_xlpm.v_cf/(1+_xlpm.v_y)^_xlpm.v_yf),_xlpm.v_pv1,SUMPRODUCT(_xlpm.v_cf/(1+_xlpm.v_y+0.00001)^_xlpm.v_yf),_xlpm.v_deriv,(_xlpm.v_pv1-_xlpm.v_pv0)/0.00001,_xlpm.v_y-(_xlpm.v_pv0-_xlpm.v_target)/_xlpm.v_deriv))),2*((1+_xlpm.v_AnnYld)^0.5-1)*100)))</f>
        <v>5.0262282776780243</v>
      </c>
      <c r="J15" s="41">
        <v>2</v>
      </c>
      <c r="K15" s="38">
        <v>3.5129999999999999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</row>
    <row r="16" spans="2:48" ht="14.4" customHeight="1" x14ac:dyDescent="0.3">
      <c r="B16" s="2"/>
      <c r="D16" s="4"/>
      <c r="E16" s="23" t="s">
        <v>9</v>
      </c>
      <c r="F16" s="17">
        <v>480</v>
      </c>
      <c r="G16" s="32" t="str">
        <f>ROUNDDOWN(F16/12,0)&amp;"Yr "&amp;MOD(F16,12)&amp;"Mo"</f>
        <v>40Yr 0Mo</v>
      </c>
      <c r="H16" s="23" t="s">
        <v>42</v>
      </c>
      <c r="I16" s="5">
        <f>IF($I$9="J-Spread",$I$8,($I$15-$I$21)*100)</f>
        <v>98.636284600046224</v>
      </c>
      <c r="J16" s="41">
        <v>3</v>
      </c>
      <c r="K16" s="38">
        <v>3.5209999999999999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</row>
    <row r="17" spans="2:48" ht="13.8" customHeight="1" x14ac:dyDescent="0.3">
      <c r="B17" s="2"/>
      <c r="D17" s="4"/>
      <c r="E17" s="23" t="s">
        <v>10</v>
      </c>
      <c r="F17" s="17">
        <v>0</v>
      </c>
      <c r="G17" s="32" t="str">
        <f>ROUNDDOWN(F17/12,0)&amp;"Yr "&amp;MOD(F17,12)&amp;"Mo"</f>
        <v>0Yr 0Mo</v>
      </c>
      <c r="H17" s="23" t="s">
        <v>13</v>
      </c>
      <c r="I17" s="5" cm="1">
        <f t="array" ref="I17">_xlfn.LET(_xlpm.v_netprn,INDEX(_xlfn.ANCHORARRAY($E$32),,13),_xlpm.v_cfdt,INDEX(_xlfn.ANCHORARRAY($E$32),,3),_xlpm.v_yf,DAYS360($I$10,_xlpm.v_cfdt,FALSE)/360,SUMPRODUCT(_xlpm.v_netprn*_xlpm.v_yf)/SUM(_xlpm.v_netprn))</f>
        <v>9.5964120313959143</v>
      </c>
      <c r="J17" s="41">
        <v>5</v>
      </c>
      <c r="K17" s="38">
        <v>3.649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</row>
    <row r="18" spans="2:48" x14ac:dyDescent="0.3">
      <c r="B18" s="2"/>
      <c r="D18" s="4"/>
      <c r="E18" s="23" t="s">
        <v>12</v>
      </c>
      <c r="F18" s="17">
        <v>120</v>
      </c>
      <c r="G18" s="32" t="str">
        <f>ROUNDDOWN(F18/12,0)&amp;"Yr "&amp;MOD(F18,12)&amp;"Mo"</f>
        <v>10Yr 0Mo</v>
      </c>
      <c r="H18" s="23" t="s">
        <v>35</v>
      </c>
      <c r="I18" s="5" cm="1">
        <f t="array" ref="I18">_xlfn.LET(_xlpm.v_cf,INDEX(_xlfn.ANCHORARRAY($E$32),,14),_xlpm.v_cfdt,INDEX(_xlfn.ANCHORARRAY($E$32),,3),_xlpm.v_yf,DAYS360($I$10,_xlpm.v_cfdt,FALSE)/360,_xlpm.v_BEY,$I$15/100,_xlpm.v_dy,0.0001,_xlpm.v_AnnYld0,(1+_xlpm.v_BEY/2)^2-1,_xlpm.v_AnnYldUp,(1+(_xlpm.v_BEY+_xlpm.v_dy)/2)^2-1,_xlpm.v_AnnYldDn,(1+(_xlpm.v_BEY-_xlpm.v_dy)/2)^2-1,_xlpm.v_P0,SUMPRODUCT(_xlpm.v_cf/(1+_xlpm.v_AnnYld0)^_xlpm.v_yf),_xlpm.v_Pup,SUMPRODUCT(_xlpm.v_cf/(1+_xlpm.v_AnnYldUp)^_xlpm.v_yf),_xlpm.v_Pdn,SUMPRODUCT(_xlpm.v_cf/(1+_xlpm.v_AnnYldDn)^_xlpm.v_yf),-(_xlpm.v_Pup-_xlpm.v_Pdn)/(2*_xlpm.v_dy*_xlpm.v_P0))</f>
        <v>7.4254997403846348</v>
      </c>
      <c r="J18" s="41">
        <v>7</v>
      </c>
      <c r="K18" s="38">
        <v>3.8460000000000001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</row>
    <row r="19" spans="2:48" ht="14.4" customHeight="1" x14ac:dyDescent="0.3">
      <c r="B19" s="2"/>
      <c r="D19" s="4"/>
      <c r="E19" s="33" t="s">
        <v>11</v>
      </c>
      <c r="F19" s="19">
        <f>DATEDIF(F$9,I$10,"M")</f>
        <v>0</v>
      </c>
      <c r="G19" s="34"/>
      <c r="H19" s="23" t="s">
        <v>36</v>
      </c>
      <c r="I19" s="5" cm="1">
        <f t="array" ref="I19">_xlfn.LET(_xlpm.v_cf,INDEX(_xlfn.ANCHORARRAY($E$32),,14),_xlpm.v_cfdt,INDEX(_xlfn.ANCHORARRAY($E$32),,3),_xlpm.v_yf,DAYS360($I$10,_xlpm.v_cfdt,FALSE)/360,_xlpm.v_BEY,$I$15/100,_xlpm.v_dy,0.0001,_xlpm.v_AnnYld0,(1+_xlpm.v_BEY/2)^2-1,_xlpm.v_AnnYldUp,(1+(_xlpm.v_BEY+_xlpm.v_dy)/2)^2-1,_xlpm.v_AnnYldDn,(1+(_xlpm.v_BEY-_xlpm.v_dy)/2)^2-1,_xlpm.v_P0,SUMPRODUCT(_xlpm.v_cf/(1+_xlpm.v_AnnYld0)^_xlpm.v_yf),_xlpm.v_Pup,SUMPRODUCT(_xlpm.v_cf/(1+_xlpm.v_AnnYldUp)^_xlpm.v_yf),_xlpm.v_Pdn,SUMPRODUCT(_xlpm.v_cf/(1+_xlpm.v_AnnYldDn)^_xlpm.v_yf),(_xlpm.v_Pup+_xlpm.v_Pdn-2*_xlpm.v_P0)/(_xlpm.v_dy^2*_xlpm.v_P0))/100</f>
        <v>0.69080983748686908</v>
      </c>
      <c r="J19" s="41">
        <v>10</v>
      </c>
      <c r="K19" s="38">
        <v>4.07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</row>
    <row r="20" spans="2:48" ht="14.4" customHeight="1" x14ac:dyDescent="0.3">
      <c r="B20" s="3"/>
      <c r="D20" s="4"/>
      <c r="E20" s="33" t="s">
        <v>14</v>
      </c>
      <c r="F20" s="19">
        <f>MAX(0,F$17-F$19)</f>
        <v>0</v>
      </c>
      <c r="G20" s="34"/>
      <c r="H20" s="23" t="s">
        <v>37</v>
      </c>
      <c r="I20" s="5">
        <f>$I$18*($I$13+I14)/100</f>
        <v>7.4275623792014072</v>
      </c>
      <c r="J20" s="41">
        <v>20</v>
      </c>
      <c r="K20" s="38">
        <v>4.665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</row>
    <row r="21" spans="2:48" ht="14.4" customHeight="1" x14ac:dyDescent="0.3">
      <c r="D21" s="4"/>
      <c r="E21" s="35" t="s">
        <v>15</v>
      </c>
      <c r="F21" s="36">
        <f>MAX(0,F$18-F$19)</f>
        <v>120</v>
      </c>
      <c r="G21" s="37"/>
      <c r="H21" s="25" t="s">
        <v>45</v>
      </c>
      <c r="I21" s="43" cm="1">
        <f t="array" ref="I21">_xll.BInterpol($J$9:$J$21,$K$9:$K$21,I17,"Linear")</f>
        <v>4.039865431677562</v>
      </c>
      <c r="J21" s="42">
        <v>30</v>
      </c>
      <c r="K21" s="39">
        <v>4.7160000000000002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</row>
    <row r="22" spans="2:48" x14ac:dyDescent="0.3">
      <c r="D22" s="4"/>
      <c r="E22" s="6"/>
      <c r="F22" s="6"/>
      <c r="G22" s="6"/>
      <c r="H22" s="6"/>
      <c r="I22" s="6"/>
      <c r="J22" s="6"/>
      <c r="K22" s="6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</row>
    <row r="23" spans="2:48" x14ac:dyDescent="0.3">
      <c r="D23" s="4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</row>
    <row r="24" spans="2:48" x14ac:dyDescent="0.3">
      <c r="D24" s="4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</row>
    <row r="25" spans="2:48" x14ac:dyDescent="0.3">
      <c r="D25" s="4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</row>
    <row r="26" spans="2:48" x14ac:dyDescent="0.3">
      <c r="D26" s="4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</row>
    <row r="27" spans="2:48" x14ac:dyDescent="0.3">
      <c r="D27" s="21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</row>
    <row r="28" spans="2:48" x14ac:dyDescent="0.3">
      <c r="D28" s="5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</row>
    <row r="29" spans="2:48" x14ac:dyDescent="0.3">
      <c r="D29" s="21"/>
      <c r="E29" s="46" t="s">
        <v>16</v>
      </c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</row>
    <row r="30" spans="2:48" x14ac:dyDescent="0.3">
      <c r="D30" s="21"/>
      <c r="E30" s="5" t="s">
        <v>30</v>
      </c>
      <c r="F30" s="20" t="s">
        <v>30</v>
      </c>
      <c r="G30" s="20" t="s">
        <v>30</v>
      </c>
      <c r="H30" s="5" t="s">
        <v>30</v>
      </c>
      <c r="I30" s="6" t="s">
        <v>30</v>
      </c>
      <c r="J30" s="6">
        <f>SUM(J32:J1048576)</f>
        <v>598644.40473580698</v>
      </c>
      <c r="K30" s="6">
        <f>SUM(K32:K1048576)</f>
        <v>478153.93490312854</v>
      </c>
      <c r="L30" s="6">
        <f>SUM(L32:L1048576)</f>
        <v>502061.63164828508</v>
      </c>
      <c r="M30" s="6">
        <f>SUM(M32:M1048576)</f>
        <v>96582.773087521215</v>
      </c>
      <c r="N30" s="6" t="s">
        <v>30</v>
      </c>
      <c r="O30" s="6">
        <f>SUM(O32:O1048576)</f>
        <v>903417.22691247659</v>
      </c>
      <c r="P30" s="6" t="s">
        <v>30</v>
      </c>
      <c r="Q30" s="6">
        <f>SUM(Q32:Q1048576)</f>
        <v>999999.99999999779</v>
      </c>
      <c r="R30" s="6">
        <f>SUM(R32:R1048576)</f>
        <v>1478153.9349031262</v>
      </c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</row>
    <row r="31" spans="2:48" x14ac:dyDescent="0.3">
      <c r="D31" s="21"/>
      <c r="E31" s="22" t="s">
        <v>17</v>
      </c>
      <c r="F31" s="22" t="s">
        <v>18</v>
      </c>
      <c r="G31" s="22" t="s">
        <v>19</v>
      </c>
      <c r="H31" s="22" t="s">
        <v>20</v>
      </c>
      <c r="I31" s="22" t="s">
        <v>21</v>
      </c>
      <c r="J31" s="22" t="s">
        <v>22</v>
      </c>
      <c r="K31" s="22" t="s">
        <v>23</v>
      </c>
      <c r="L31" s="22" t="s">
        <v>24</v>
      </c>
      <c r="M31" s="22" t="s">
        <v>25</v>
      </c>
      <c r="N31" s="22" t="s">
        <v>26</v>
      </c>
      <c r="O31" s="22" t="s">
        <v>12</v>
      </c>
      <c r="P31" s="22" t="s">
        <v>27</v>
      </c>
      <c r="Q31" s="22" t="s">
        <v>28</v>
      </c>
      <c r="R31" s="22" t="s">
        <v>29</v>
      </c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</row>
    <row r="32" spans="2:48" x14ac:dyDescent="0.3">
      <c r="D32" s="5"/>
      <c r="E32" s="5" cm="1">
        <f t="array" ref="E32:R152">LoanAmortTbl($I$10,$F$11,$F$14,$F$13,$F$15,$F$16,$F$17,$F$18,$F$10,$F$19)</f>
        <v>0</v>
      </c>
      <c r="F32" s="20">
        <v>46084</v>
      </c>
      <c r="G32" s="20">
        <v>46084</v>
      </c>
      <c r="H32" s="5">
        <v>0</v>
      </c>
      <c r="I32" s="6">
        <v>1000000</v>
      </c>
      <c r="J32" s="6">
        <v>0</v>
      </c>
      <c r="K32" s="6">
        <v>0</v>
      </c>
      <c r="L32" s="6">
        <v>0</v>
      </c>
      <c r="M32" s="6">
        <v>0</v>
      </c>
      <c r="N32" s="6">
        <v>1000000</v>
      </c>
      <c r="O32" s="6">
        <v>0</v>
      </c>
      <c r="P32" s="6">
        <v>1000000</v>
      </c>
      <c r="Q32" s="6">
        <v>0</v>
      </c>
      <c r="R32" s="6">
        <v>0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</row>
    <row r="33" spans="4:48" x14ac:dyDescent="0.3">
      <c r="D33" s="5"/>
      <c r="E33" s="5">
        <v>1</v>
      </c>
      <c r="F33" s="20">
        <v>46115</v>
      </c>
      <c r="G33" s="20">
        <v>46127</v>
      </c>
      <c r="H33" s="5">
        <v>8.3333333333333329E-2</v>
      </c>
      <c r="I33" s="6">
        <v>1000000</v>
      </c>
      <c r="J33" s="6">
        <v>4988.7033727983862</v>
      </c>
      <c r="K33" s="6">
        <v>4166.666666666667</v>
      </c>
      <c r="L33" s="6">
        <v>4375</v>
      </c>
      <c r="M33" s="6">
        <v>613.70337279838623</v>
      </c>
      <c r="N33" s="6">
        <v>999386.29662720161</v>
      </c>
      <c r="O33" s="6">
        <v>0</v>
      </c>
      <c r="P33" s="6">
        <v>999386.29662720161</v>
      </c>
      <c r="Q33" s="6">
        <v>613.70337279838623</v>
      </c>
      <c r="R33" s="6">
        <v>4780.3700394650532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</row>
    <row r="34" spans="4:48" x14ac:dyDescent="0.3">
      <c r="D34" s="5"/>
      <c r="E34" s="5">
        <v>2</v>
      </c>
      <c r="F34" s="20">
        <v>46145</v>
      </c>
      <c r="G34" s="20">
        <v>46157</v>
      </c>
      <c r="H34" s="5">
        <v>0.16666666666666666</v>
      </c>
      <c r="I34" s="6">
        <v>999386.29662720161</v>
      </c>
      <c r="J34" s="6">
        <v>4988.7033727983862</v>
      </c>
      <c r="K34" s="6">
        <v>4164.1095692800063</v>
      </c>
      <c r="L34" s="6">
        <v>4372.3150477440076</v>
      </c>
      <c r="M34" s="6">
        <v>616.38832505437858</v>
      </c>
      <c r="N34" s="6">
        <v>998769.90830214717</v>
      </c>
      <c r="O34" s="6">
        <v>0</v>
      </c>
      <c r="P34" s="6">
        <v>998769.90830214717</v>
      </c>
      <c r="Q34" s="6">
        <v>616.38832505437858</v>
      </c>
      <c r="R34" s="6">
        <v>4780.4978943343849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</row>
    <row r="35" spans="4:48" x14ac:dyDescent="0.3">
      <c r="D35" s="5"/>
      <c r="E35" s="5">
        <v>3</v>
      </c>
      <c r="F35" s="20">
        <v>46176</v>
      </c>
      <c r="G35" s="20">
        <v>46188</v>
      </c>
      <c r="H35" s="5">
        <v>0.25</v>
      </c>
      <c r="I35" s="6">
        <v>998769.90830214717</v>
      </c>
      <c r="J35" s="6">
        <v>4988.7033727983862</v>
      </c>
      <c r="K35" s="6">
        <v>4161.5412845922801</v>
      </c>
      <c r="L35" s="6">
        <v>4369.618348821894</v>
      </c>
      <c r="M35" s="6">
        <v>619.08502397649227</v>
      </c>
      <c r="N35" s="6">
        <v>998150.82327817066</v>
      </c>
      <c r="O35" s="6">
        <v>0</v>
      </c>
      <c r="P35" s="6">
        <v>998150.82327817066</v>
      </c>
      <c r="Q35" s="6">
        <v>619.08502397649227</v>
      </c>
      <c r="R35" s="6">
        <v>4780.6263085687724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</row>
    <row r="36" spans="4:48" x14ac:dyDescent="0.3">
      <c r="D36" s="5"/>
      <c r="E36" s="5">
        <v>4</v>
      </c>
      <c r="F36" s="20">
        <v>46206</v>
      </c>
      <c r="G36" s="20">
        <v>46218</v>
      </c>
      <c r="H36" s="5">
        <v>0.33333333333333331</v>
      </c>
      <c r="I36" s="6">
        <v>998150.82327817078</v>
      </c>
      <c r="J36" s="6">
        <v>4988.7033727983862</v>
      </c>
      <c r="K36" s="6">
        <v>4158.9617636590447</v>
      </c>
      <c r="L36" s="6">
        <v>4366.9098518419978</v>
      </c>
      <c r="M36" s="6">
        <v>621.79352095638842</v>
      </c>
      <c r="N36" s="6">
        <v>997529.02975721436</v>
      </c>
      <c r="O36" s="6">
        <v>0</v>
      </c>
      <c r="P36" s="6">
        <v>997529.02975721436</v>
      </c>
      <c r="Q36" s="6">
        <v>621.79352095638842</v>
      </c>
      <c r="R36" s="6">
        <v>4780.7552846154331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</row>
    <row r="37" spans="4:48" x14ac:dyDescent="0.3">
      <c r="D37" s="5"/>
      <c r="E37" s="5">
        <v>5</v>
      </c>
      <c r="F37" s="20">
        <v>46237</v>
      </c>
      <c r="G37" s="20">
        <v>46249</v>
      </c>
      <c r="H37" s="5">
        <v>0.41666666666666669</v>
      </c>
      <c r="I37" s="6">
        <v>997529.02975721436</v>
      </c>
      <c r="J37" s="6">
        <v>4988.7033727983862</v>
      </c>
      <c r="K37" s="6">
        <v>4156.3709573217266</v>
      </c>
      <c r="L37" s="6">
        <v>4364.1895051878137</v>
      </c>
      <c r="M37" s="6">
        <v>624.51386761057256</v>
      </c>
      <c r="N37" s="6">
        <v>996904.51588960376</v>
      </c>
      <c r="O37" s="6">
        <v>0</v>
      </c>
      <c r="P37" s="6">
        <v>996904.51588960376</v>
      </c>
      <c r="Q37" s="6">
        <v>624.51386761057256</v>
      </c>
      <c r="R37" s="6">
        <v>4780.8848249322991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</row>
    <row r="38" spans="4:48" x14ac:dyDescent="0.3">
      <c r="D38" s="5"/>
      <c r="E38" s="5">
        <v>6</v>
      </c>
      <c r="F38" s="20">
        <v>46268</v>
      </c>
      <c r="G38" s="20">
        <v>46280</v>
      </c>
      <c r="H38" s="5">
        <v>0.5</v>
      </c>
      <c r="I38" s="6">
        <v>996904.51588960376</v>
      </c>
      <c r="J38" s="6">
        <v>4988.7033727983862</v>
      </c>
      <c r="K38" s="6">
        <v>4153.7688162066825</v>
      </c>
      <c r="L38" s="6">
        <v>4361.4572570170167</v>
      </c>
      <c r="M38" s="6">
        <v>627.24611578136955</v>
      </c>
      <c r="N38" s="6">
        <v>996277.26977382239</v>
      </c>
      <c r="O38" s="6">
        <v>0</v>
      </c>
      <c r="P38" s="6">
        <v>996277.26977382239</v>
      </c>
      <c r="Q38" s="6">
        <v>627.24611578136955</v>
      </c>
      <c r="R38" s="6">
        <v>4781.014931988052</v>
      </c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</row>
    <row r="39" spans="4:48" x14ac:dyDescent="0.3">
      <c r="D39" s="5"/>
      <c r="E39" s="5">
        <v>7</v>
      </c>
      <c r="F39" s="20">
        <v>46298</v>
      </c>
      <c r="G39" s="20">
        <v>46310</v>
      </c>
      <c r="H39" s="5">
        <v>0.58333333333333337</v>
      </c>
      <c r="I39" s="6">
        <v>996277.26977382228</v>
      </c>
      <c r="J39" s="6">
        <v>4988.7033727983862</v>
      </c>
      <c r="K39" s="6">
        <v>4151.1552907242594</v>
      </c>
      <c r="L39" s="6">
        <v>4358.7130552604731</v>
      </c>
      <c r="M39" s="6">
        <v>629.99031753791314</v>
      </c>
      <c r="N39" s="6">
        <v>995647.27945628436</v>
      </c>
      <c r="O39" s="6">
        <v>0</v>
      </c>
      <c r="P39" s="6">
        <v>995647.27945628436</v>
      </c>
      <c r="Q39" s="6">
        <v>629.99031753791314</v>
      </c>
      <c r="R39" s="6">
        <v>4781.1456082621726</v>
      </c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</row>
    <row r="40" spans="4:48" x14ac:dyDescent="0.3">
      <c r="D40" s="5"/>
      <c r="E40" s="5">
        <v>8</v>
      </c>
      <c r="F40" s="20">
        <v>46329</v>
      </c>
      <c r="G40" s="20">
        <v>46341</v>
      </c>
      <c r="H40" s="5">
        <v>0.66666666666666663</v>
      </c>
      <c r="I40" s="6">
        <v>995647.27945628436</v>
      </c>
      <c r="J40" s="6">
        <v>4988.7033727983862</v>
      </c>
      <c r="K40" s="6">
        <v>4148.5303310678519</v>
      </c>
      <c r="L40" s="6">
        <v>4355.9568476212444</v>
      </c>
      <c r="M40" s="6">
        <v>632.74652517714185</v>
      </c>
      <c r="N40" s="6">
        <v>995014.53293110721</v>
      </c>
      <c r="O40" s="6">
        <v>0</v>
      </c>
      <c r="P40" s="6">
        <v>995014.53293110721</v>
      </c>
      <c r="Q40" s="6">
        <v>632.74652517714185</v>
      </c>
      <c r="R40" s="6">
        <v>4781.2768562449937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</row>
    <row r="41" spans="4:48" x14ac:dyDescent="0.3">
      <c r="D41" s="5"/>
      <c r="E41" s="5">
        <v>9</v>
      </c>
      <c r="F41" s="20">
        <v>46359</v>
      </c>
      <c r="G41" s="20">
        <v>46371</v>
      </c>
      <c r="H41" s="5">
        <v>0.75</v>
      </c>
      <c r="I41" s="6">
        <v>995014.53293110733</v>
      </c>
      <c r="J41" s="6">
        <v>4988.7033727983862</v>
      </c>
      <c r="K41" s="6">
        <v>4145.8938872129474</v>
      </c>
      <c r="L41" s="6">
        <v>4353.188581573595</v>
      </c>
      <c r="M41" s="6">
        <v>635.51479122479122</v>
      </c>
      <c r="N41" s="6">
        <v>994379.0181398826</v>
      </c>
      <c r="O41" s="6">
        <v>0</v>
      </c>
      <c r="P41" s="6">
        <v>994379.0181398826</v>
      </c>
      <c r="Q41" s="6">
        <v>635.51479122479122</v>
      </c>
      <c r="R41" s="6">
        <v>4781.4086784377387</v>
      </c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</row>
    <row r="42" spans="4:48" x14ac:dyDescent="0.3">
      <c r="D42" s="5"/>
      <c r="E42" s="5">
        <v>10</v>
      </c>
      <c r="F42" s="20">
        <v>46390</v>
      </c>
      <c r="G42" s="20">
        <v>46402</v>
      </c>
      <c r="H42" s="5">
        <v>0.83333333333333337</v>
      </c>
      <c r="I42" s="6">
        <v>994379.01813988236</v>
      </c>
      <c r="J42" s="6">
        <v>4988.7033727983862</v>
      </c>
      <c r="K42" s="6">
        <v>4143.2459089161766</v>
      </c>
      <c r="L42" s="6">
        <v>4350.4082043619856</v>
      </c>
      <c r="M42" s="6">
        <v>638.29516843640067</v>
      </c>
      <c r="N42" s="6">
        <v>993740.722971446</v>
      </c>
      <c r="O42" s="6">
        <v>0</v>
      </c>
      <c r="P42" s="6">
        <v>993740.722971446</v>
      </c>
      <c r="Q42" s="6">
        <v>638.29516843640067</v>
      </c>
      <c r="R42" s="6">
        <v>4781.5410773525773</v>
      </c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</row>
    <row r="43" spans="4:48" x14ac:dyDescent="0.3">
      <c r="D43" s="5"/>
      <c r="E43" s="5">
        <v>11</v>
      </c>
      <c r="F43" s="20">
        <v>46421</v>
      </c>
      <c r="G43" s="20">
        <v>46433</v>
      </c>
      <c r="H43" s="5">
        <v>0.91666666666666663</v>
      </c>
      <c r="I43" s="6">
        <v>993740.722971446</v>
      </c>
      <c r="J43" s="6">
        <v>4988.7033727983862</v>
      </c>
      <c r="K43" s="6">
        <v>4140.5863457143587</v>
      </c>
      <c r="L43" s="6">
        <v>4347.6156630000769</v>
      </c>
      <c r="M43" s="6">
        <v>641.08770979830933</v>
      </c>
      <c r="N43" s="6">
        <v>993099.63526164764</v>
      </c>
      <c r="O43" s="6">
        <v>0</v>
      </c>
      <c r="P43" s="6">
        <v>993099.63526164764</v>
      </c>
      <c r="Q43" s="6">
        <v>641.08770979830933</v>
      </c>
      <c r="R43" s="6">
        <v>4781.674055512668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</row>
    <row r="44" spans="4:48" x14ac:dyDescent="0.3">
      <c r="D44" s="5"/>
      <c r="E44" s="5">
        <v>12</v>
      </c>
      <c r="F44" s="20">
        <v>46449</v>
      </c>
      <c r="G44" s="20">
        <v>46461</v>
      </c>
      <c r="H44" s="5">
        <v>1</v>
      </c>
      <c r="I44" s="6">
        <v>993099.63526164787</v>
      </c>
      <c r="J44" s="6">
        <v>4988.7033727983862</v>
      </c>
      <c r="K44" s="6">
        <v>4137.915146923533</v>
      </c>
      <c r="L44" s="6">
        <v>4344.8109042697097</v>
      </c>
      <c r="M44" s="6">
        <v>643.89246852867655</v>
      </c>
      <c r="N44" s="6">
        <v>992455.74279311916</v>
      </c>
      <c r="O44" s="6">
        <v>0</v>
      </c>
      <c r="P44" s="6">
        <v>992455.74279311916</v>
      </c>
      <c r="Q44" s="6">
        <v>643.89246852867655</v>
      </c>
      <c r="R44" s="6">
        <v>4781.8076154522096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</row>
    <row r="45" spans="4:48" x14ac:dyDescent="0.3">
      <c r="D45" s="5"/>
      <c r="E45" s="5">
        <v>13</v>
      </c>
      <c r="F45" s="20">
        <v>46480</v>
      </c>
      <c r="G45" s="20">
        <v>46492</v>
      </c>
      <c r="H45" s="5">
        <v>1.0833333333333333</v>
      </c>
      <c r="I45" s="6">
        <v>992455.74279311916</v>
      </c>
      <c r="J45" s="6">
        <v>4988.7033727983862</v>
      </c>
      <c r="K45" s="6">
        <v>4135.2322616379961</v>
      </c>
      <c r="L45" s="6">
        <v>4341.9938747198967</v>
      </c>
      <c r="M45" s="6">
        <v>646.70949807848956</v>
      </c>
      <c r="N45" s="6">
        <v>991809.03329504072</v>
      </c>
      <c r="O45" s="6">
        <v>0</v>
      </c>
      <c r="P45" s="6">
        <v>991809.03329504072</v>
      </c>
      <c r="Q45" s="6">
        <v>646.70949807848956</v>
      </c>
      <c r="R45" s="6">
        <v>4781.9417597164856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</row>
    <row r="46" spans="4:48" x14ac:dyDescent="0.3">
      <c r="D46" s="5"/>
      <c r="E46" s="5">
        <v>14</v>
      </c>
      <c r="F46" s="20">
        <v>46510</v>
      </c>
      <c r="G46" s="20">
        <v>46522</v>
      </c>
      <c r="H46" s="5">
        <v>1.1666666666666667</v>
      </c>
      <c r="I46" s="6">
        <v>991809.0332950406</v>
      </c>
      <c r="J46" s="6">
        <v>4988.7033727983862</v>
      </c>
      <c r="K46" s="6">
        <v>4132.5376387293354</v>
      </c>
      <c r="L46" s="6">
        <v>4339.1645206658031</v>
      </c>
      <c r="M46" s="6">
        <v>649.53885213258309</v>
      </c>
      <c r="N46" s="6">
        <v>991159.49444290798</v>
      </c>
      <c r="O46" s="6">
        <v>0</v>
      </c>
      <c r="P46" s="6">
        <v>991159.49444290798</v>
      </c>
      <c r="Q46" s="6">
        <v>649.53885213258309</v>
      </c>
      <c r="R46" s="6">
        <v>4782.0764908619185</v>
      </c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</row>
    <row r="47" spans="4:48" x14ac:dyDescent="0.3">
      <c r="D47" s="5"/>
      <c r="E47" s="5">
        <v>15</v>
      </c>
      <c r="F47" s="20">
        <v>46541</v>
      </c>
      <c r="G47" s="20">
        <v>46553</v>
      </c>
      <c r="H47" s="5">
        <v>1.25</v>
      </c>
      <c r="I47" s="6">
        <v>991159.49444290798</v>
      </c>
      <c r="J47" s="6">
        <v>4988.7033727983862</v>
      </c>
      <c r="K47" s="6">
        <v>4129.8312268454501</v>
      </c>
      <c r="L47" s="6">
        <v>4336.3227881877228</v>
      </c>
      <c r="M47" s="6">
        <v>652.38058461066339</v>
      </c>
      <c r="N47" s="6">
        <v>990507.11385829735</v>
      </c>
      <c r="O47" s="6">
        <v>0</v>
      </c>
      <c r="P47" s="6">
        <v>990507.11385829735</v>
      </c>
      <c r="Q47" s="6">
        <v>652.38058461066339</v>
      </c>
      <c r="R47" s="6">
        <v>4782.2118114561135</v>
      </c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</row>
    <row r="48" spans="4:48" x14ac:dyDescent="0.3">
      <c r="D48" s="5"/>
      <c r="E48" s="5">
        <v>16</v>
      </c>
      <c r="F48" s="20">
        <v>46571</v>
      </c>
      <c r="G48" s="20">
        <v>46583</v>
      </c>
      <c r="H48" s="5">
        <v>1.3333333333333333</v>
      </c>
      <c r="I48" s="6">
        <v>990507.11385829735</v>
      </c>
      <c r="J48" s="6">
        <v>4988.7033727983862</v>
      </c>
      <c r="K48" s="6">
        <v>4127.1129744095724</v>
      </c>
      <c r="L48" s="6">
        <v>4333.4686231300511</v>
      </c>
      <c r="M48" s="6">
        <v>655.2347496683351</v>
      </c>
      <c r="N48" s="6">
        <v>989851.87910862907</v>
      </c>
      <c r="O48" s="6">
        <v>0</v>
      </c>
      <c r="P48" s="6">
        <v>989851.87910862907</v>
      </c>
      <c r="Q48" s="6">
        <v>655.2347496683351</v>
      </c>
      <c r="R48" s="6">
        <v>4782.3477240779075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</row>
    <row r="49" spans="4:48" x14ac:dyDescent="0.3">
      <c r="D49" s="5"/>
      <c r="E49" s="5">
        <v>17</v>
      </c>
      <c r="F49" s="20">
        <v>46602</v>
      </c>
      <c r="G49" s="20">
        <v>46614</v>
      </c>
      <c r="H49" s="5">
        <v>1.4166666666666667</v>
      </c>
      <c r="I49" s="6">
        <v>989851.87910862872</v>
      </c>
      <c r="J49" s="6">
        <v>4988.7033727983862</v>
      </c>
      <c r="K49" s="6">
        <v>4124.382829619286</v>
      </c>
      <c r="L49" s="6">
        <v>4330.6019711002509</v>
      </c>
      <c r="M49" s="6">
        <v>658.10140169813531</v>
      </c>
      <c r="N49" s="6">
        <v>989193.77770693065</v>
      </c>
      <c r="O49" s="6">
        <v>0</v>
      </c>
      <c r="P49" s="6">
        <v>989193.77770693065</v>
      </c>
      <c r="Q49" s="6">
        <v>658.10140169813531</v>
      </c>
      <c r="R49" s="6">
        <v>4782.4842313174213</v>
      </c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</row>
    <row r="50" spans="4:48" x14ac:dyDescent="0.3">
      <c r="D50" s="5"/>
      <c r="E50" s="5">
        <v>18</v>
      </c>
      <c r="F50" s="20">
        <v>46633</v>
      </c>
      <c r="G50" s="20">
        <v>46645</v>
      </c>
      <c r="H50" s="5">
        <v>1.5</v>
      </c>
      <c r="I50" s="6">
        <v>989193.77770693065</v>
      </c>
      <c r="J50" s="6">
        <v>4988.7033727983862</v>
      </c>
      <c r="K50" s="6">
        <v>4121.640740445544</v>
      </c>
      <c r="L50" s="6">
        <v>4327.7227774678222</v>
      </c>
      <c r="M50" s="6">
        <v>660.98059533056403</v>
      </c>
      <c r="N50" s="6">
        <v>988532.79711160006</v>
      </c>
      <c r="O50" s="6">
        <v>0</v>
      </c>
      <c r="P50" s="6">
        <v>988532.79711160006</v>
      </c>
      <c r="Q50" s="6">
        <v>660.98059533056403</v>
      </c>
      <c r="R50" s="6">
        <v>4782.621335776108</v>
      </c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</row>
    <row r="51" spans="4:48" x14ac:dyDescent="0.3">
      <c r="D51" s="5"/>
      <c r="E51" s="5">
        <v>19</v>
      </c>
      <c r="F51" s="20">
        <v>46663</v>
      </c>
      <c r="G51" s="20">
        <v>46675</v>
      </c>
      <c r="H51" s="5">
        <v>1.5833333333333333</v>
      </c>
      <c r="I51" s="6">
        <v>988532.79711160017</v>
      </c>
      <c r="J51" s="6">
        <v>4988.7033727983862</v>
      </c>
      <c r="K51" s="6">
        <v>4118.8866546316676</v>
      </c>
      <c r="L51" s="6">
        <v>4324.8309873632516</v>
      </c>
      <c r="M51" s="6">
        <v>663.87238543513467</v>
      </c>
      <c r="N51" s="6">
        <v>987868.92472616502</v>
      </c>
      <c r="O51" s="6">
        <v>0</v>
      </c>
      <c r="P51" s="6">
        <v>987868.92472616502</v>
      </c>
      <c r="Q51" s="6">
        <v>663.87238543513467</v>
      </c>
      <c r="R51" s="6">
        <v>4782.7590400668023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</row>
    <row r="52" spans="4:48" x14ac:dyDescent="0.3">
      <c r="D52" s="5"/>
      <c r="E52" s="5">
        <v>20</v>
      </c>
      <c r="F52" s="20">
        <v>46694</v>
      </c>
      <c r="G52" s="20">
        <v>46706</v>
      </c>
      <c r="H52" s="5">
        <v>1.6666666666666667</v>
      </c>
      <c r="I52" s="6">
        <v>987868.92472616513</v>
      </c>
      <c r="J52" s="6">
        <v>4988.7033727983862</v>
      </c>
      <c r="K52" s="6">
        <v>4116.1205196923547</v>
      </c>
      <c r="L52" s="6">
        <v>4321.9265456769726</v>
      </c>
      <c r="M52" s="6">
        <v>666.77682712141359</v>
      </c>
      <c r="N52" s="6">
        <v>987202.14789904375</v>
      </c>
      <c r="O52" s="6">
        <v>0</v>
      </c>
      <c r="P52" s="6">
        <v>987202.14789904375</v>
      </c>
      <c r="Q52" s="6">
        <v>666.77682712141359</v>
      </c>
      <c r="R52" s="6">
        <v>4782.8973468137683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</row>
    <row r="53" spans="4:48" x14ac:dyDescent="0.3">
      <c r="D53" s="5"/>
      <c r="E53" s="5">
        <v>21</v>
      </c>
      <c r="F53" s="20">
        <v>46724</v>
      </c>
      <c r="G53" s="20">
        <v>46736</v>
      </c>
      <c r="H53" s="5">
        <v>1.75</v>
      </c>
      <c r="I53" s="6">
        <v>987202.14789904351</v>
      </c>
      <c r="J53" s="6">
        <v>4988.7033727983862</v>
      </c>
      <c r="K53" s="6">
        <v>4113.3422829126812</v>
      </c>
      <c r="L53" s="6">
        <v>4319.0093970583157</v>
      </c>
      <c r="M53" s="6">
        <v>669.69397574007053</v>
      </c>
      <c r="N53" s="6">
        <v>986532.4539233034</v>
      </c>
      <c r="O53" s="6">
        <v>0</v>
      </c>
      <c r="P53" s="6">
        <v>986532.4539233034</v>
      </c>
      <c r="Q53" s="6">
        <v>669.69397574007053</v>
      </c>
      <c r="R53" s="6">
        <v>4783.0362586527517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</row>
    <row r="54" spans="4:48" x14ac:dyDescent="0.3">
      <c r="D54" s="5"/>
      <c r="E54" s="5">
        <v>22</v>
      </c>
      <c r="F54" s="20">
        <v>46755</v>
      </c>
      <c r="G54" s="20">
        <v>46767</v>
      </c>
      <c r="H54" s="5">
        <v>1.8333333333333333</v>
      </c>
      <c r="I54" s="6">
        <v>986532.45392330363</v>
      </c>
      <c r="J54" s="6">
        <v>4988.7033727983862</v>
      </c>
      <c r="K54" s="6">
        <v>4110.5518913470987</v>
      </c>
      <c r="L54" s="6">
        <v>4316.0794859144535</v>
      </c>
      <c r="M54" s="6">
        <v>672.62388688393276</v>
      </c>
      <c r="N54" s="6">
        <v>985859.83003641968</v>
      </c>
      <c r="O54" s="6">
        <v>0</v>
      </c>
      <c r="P54" s="6">
        <v>985859.83003641968</v>
      </c>
      <c r="Q54" s="6">
        <v>672.62388688393276</v>
      </c>
      <c r="R54" s="6">
        <v>4783.1757782310315</v>
      </c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</row>
    <row r="55" spans="4:48" x14ac:dyDescent="0.3">
      <c r="D55" s="5"/>
      <c r="E55" s="5">
        <v>23</v>
      </c>
      <c r="F55" s="20">
        <v>46786</v>
      </c>
      <c r="G55" s="20">
        <v>46798</v>
      </c>
      <c r="H55" s="5">
        <v>1.9166666666666667</v>
      </c>
      <c r="I55" s="6">
        <v>985859.83003641944</v>
      </c>
      <c r="J55" s="6">
        <v>4988.7033727983862</v>
      </c>
      <c r="K55" s="6">
        <v>4107.7492918184143</v>
      </c>
      <c r="L55" s="6">
        <v>4313.1367564093352</v>
      </c>
      <c r="M55" s="6">
        <v>675.56661638905098</v>
      </c>
      <c r="N55" s="6">
        <v>985184.26342003036</v>
      </c>
      <c r="O55" s="6">
        <v>0</v>
      </c>
      <c r="P55" s="6">
        <v>985184.26342003036</v>
      </c>
      <c r="Q55" s="6">
        <v>675.56661638905098</v>
      </c>
      <c r="R55" s="6">
        <v>4783.3159082074653</v>
      </c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</row>
    <row r="56" spans="4:48" x14ac:dyDescent="0.3">
      <c r="D56" s="5"/>
      <c r="E56" s="5">
        <v>24</v>
      </c>
      <c r="F56" s="20">
        <v>46815</v>
      </c>
      <c r="G56" s="20">
        <v>46827</v>
      </c>
      <c r="H56" s="5">
        <v>2</v>
      </c>
      <c r="I56" s="6">
        <v>985184.26342003047</v>
      </c>
      <c r="J56" s="6">
        <v>4988.7033727983862</v>
      </c>
      <c r="K56" s="6">
        <v>4104.9344309167936</v>
      </c>
      <c r="L56" s="6">
        <v>4310.1811524626337</v>
      </c>
      <c r="M56" s="6">
        <v>678.52222033575254</v>
      </c>
      <c r="N56" s="6">
        <v>984505.74119969469</v>
      </c>
      <c r="O56" s="6">
        <v>0</v>
      </c>
      <c r="P56" s="6">
        <v>984505.74119969469</v>
      </c>
      <c r="Q56" s="6">
        <v>678.52222033575254</v>
      </c>
      <c r="R56" s="6">
        <v>4783.4566512525462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</row>
    <row r="57" spans="4:48" x14ac:dyDescent="0.3">
      <c r="D57" s="5"/>
      <c r="E57" s="5">
        <v>25</v>
      </c>
      <c r="F57" s="20">
        <v>46846</v>
      </c>
      <c r="G57" s="20">
        <v>46858</v>
      </c>
      <c r="H57" s="5">
        <v>2.0833333333333335</v>
      </c>
      <c r="I57" s="6">
        <v>984505.74119969469</v>
      </c>
      <c r="J57" s="6">
        <v>4988.7033727983862</v>
      </c>
      <c r="K57" s="6">
        <v>4102.1072549987275</v>
      </c>
      <c r="L57" s="6">
        <v>4307.2126177486643</v>
      </c>
      <c r="M57" s="6">
        <v>681.49075504972188</v>
      </c>
      <c r="N57" s="6">
        <v>983824.25044464495</v>
      </c>
      <c r="O57" s="6">
        <v>0</v>
      </c>
      <c r="P57" s="6">
        <v>983824.25044464495</v>
      </c>
      <c r="Q57" s="6">
        <v>681.49075504972188</v>
      </c>
      <c r="R57" s="6">
        <v>4783.5980100484494</v>
      </c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</row>
    <row r="58" spans="4:48" x14ac:dyDescent="0.3">
      <c r="D58" s="5"/>
      <c r="E58" s="5">
        <v>26</v>
      </c>
      <c r="F58" s="20">
        <v>46876</v>
      </c>
      <c r="G58" s="20">
        <v>46888</v>
      </c>
      <c r="H58" s="5">
        <v>2.1666666666666665</v>
      </c>
      <c r="I58" s="6">
        <v>983824.25044464495</v>
      </c>
      <c r="J58" s="6">
        <v>4988.7033727983862</v>
      </c>
      <c r="K58" s="6">
        <v>4099.2677101860208</v>
      </c>
      <c r="L58" s="6">
        <v>4304.2310956953224</v>
      </c>
      <c r="M58" s="6">
        <v>684.47227710306379</v>
      </c>
      <c r="N58" s="6">
        <v>983139.77816754184</v>
      </c>
      <c r="O58" s="6">
        <v>0</v>
      </c>
      <c r="P58" s="6">
        <v>983139.77816754184</v>
      </c>
      <c r="Q58" s="6">
        <v>684.47227710306379</v>
      </c>
      <c r="R58" s="6">
        <v>4783.7399872890846</v>
      </c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</row>
    <row r="59" spans="4:48" x14ac:dyDescent="0.3">
      <c r="D59" s="5"/>
      <c r="E59" s="5">
        <v>27</v>
      </c>
      <c r="F59" s="20">
        <v>46907</v>
      </c>
      <c r="G59" s="20">
        <v>46919</v>
      </c>
      <c r="H59" s="5">
        <v>2.25</v>
      </c>
      <c r="I59" s="6">
        <v>983139.77816754184</v>
      </c>
      <c r="J59" s="6">
        <v>4988.7033727983862</v>
      </c>
      <c r="K59" s="6">
        <v>4096.4157423647575</v>
      </c>
      <c r="L59" s="6">
        <v>4301.236529482996</v>
      </c>
      <c r="M59" s="6">
        <v>687.46684331539018</v>
      </c>
      <c r="N59" s="6">
        <v>982452.31132422644</v>
      </c>
      <c r="O59" s="6">
        <v>0</v>
      </c>
      <c r="P59" s="6">
        <v>982452.31132422644</v>
      </c>
      <c r="Q59" s="6">
        <v>687.46684331539018</v>
      </c>
      <c r="R59" s="6">
        <v>4783.8825856801477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</row>
    <row r="60" spans="4:48" x14ac:dyDescent="0.3">
      <c r="D60" s="5"/>
      <c r="E60" s="5">
        <v>28</v>
      </c>
      <c r="F60" s="20">
        <v>46937</v>
      </c>
      <c r="G60" s="20">
        <v>46949</v>
      </c>
      <c r="H60" s="5">
        <v>2.3333333333333335</v>
      </c>
      <c r="I60" s="6">
        <v>982452.31132422644</v>
      </c>
      <c r="J60" s="6">
        <v>4988.7033727983862</v>
      </c>
      <c r="K60" s="6">
        <v>4093.5512971842768</v>
      </c>
      <c r="L60" s="6">
        <v>4298.2288620434911</v>
      </c>
      <c r="M60" s="6">
        <v>690.47451075489516</v>
      </c>
      <c r="N60" s="6">
        <v>981761.83681347151</v>
      </c>
      <c r="O60" s="6">
        <v>0</v>
      </c>
      <c r="P60" s="6">
        <v>981761.83681347151</v>
      </c>
      <c r="Q60" s="6">
        <v>690.47451075489516</v>
      </c>
      <c r="R60" s="6">
        <v>4784.0258079391715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</row>
    <row r="61" spans="4:48" x14ac:dyDescent="0.3">
      <c r="D61" s="5"/>
      <c r="E61" s="5">
        <v>29</v>
      </c>
      <c r="F61" s="20">
        <v>46968</v>
      </c>
      <c r="G61" s="20">
        <v>46980</v>
      </c>
      <c r="H61" s="5">
        <v>2.4166666666666665</v>
      </c>
      <c r="I61" s="6">
        <v>981761.83681347151</v>
      </c>
      <c r="J61" s="6">
        <v>4988.7033727983862</v>
      </c>
      <c r="K61" s="6">
        <v>4090.6743200561314</v>
      </c>
      <c r="L61" s="6">
        <v>4295.208036058938</v>
      </c>
      <c r="M61" s="6">
        <v>693.49533673944825</v>
      </c>
      <c r="N61" s="6">
        <v>981068.34147673205</v>
      </c>
      <c r="O61" s="6">
        <v>0</v>
      </c>
      <c r="P61" s="6">
        <v>981068.34147673205</v>
      </c>
      <c r="Q61" s="6">
        <v>693.49533673944825</v>
      </c>
      <c r="R61" s="6">
        <v>4784.1696567955796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</row>
    <row r="62" spans="4:48" x14ac:dyDescent="0.3">
      <c r="D62" s="5"/>
      <c r="E62" s="5">
        <v>30</v>
      </c>
      <c r="F62" s="20">
        <v>46999</v>
      </c>
      <c r="G62" s="20">
        <v>47011</v>
      </c>
      <c r="H62" s="5">
        <v>2.5</v>
      </c>
      <c r="I62" s="6">
        <v>981068.34147673217</v>
      </c>
      <c r="J62" s="6">
        <v>4988.7033727983862</v>
      </c>
      <c r="K62" s="6">
        <v>4087.7847561530507</v>
      </c>
      <c r="L62" s="6">
        <v>4292.1739939607032</v>
      </c>
      <c r="M62" s="6">
        <v>696.529378837683</v>
      </c>
      <c r="N62" s="6">
        <v>980371.81209789449</v>
      </c>
      <c r="O62" s="6">
        <v>0</v>
      </c>
      <c r="P62" s="6">
        <v>980371.81209789449</v>
      </c>
      <c r="Q62" s="6">
        <v>696.529378837683</v>
      </c>
      <c r="R62" s="6">
        <v>4784.3141349907337</v>
      </c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</row>
    <row r="63" spans="4:48" x14ac:dyDescent="0.3">
      <c r="D63" s="5"/>
      <c r="E63" s="5">
        <v>31</v>
      </c>
      <c r="F63" s="20">
        <v>47029</v>
      </c>
      <c r="G63" s="20">
        <v>47041</v>
      </c>
      <c r="H63" s="5">
        <v>2.5833333333333335</v>
      </c>
      <c r="I63" s="6">
        <v>980371.81209789449</v>
      </c>
      <c r="J63" s="6">
        <v>4988.7033727983862</v>
      </c>
      <c r="K63" s="6">
        <v>4084.8825504078936</v>
      </c>
      <c r="L63" s="6">
        <v>4289.1266779282887</v>
      </c>
      <c r="M63" s="6">
        <v>699.57669487009753</v>
      </c>
      <c r="N63" s="6">
        <v>979672.23540302436</v>
      </c>
      <c r="O63" s="6">
        <v>0</v>
      </c>
      <c r="P63" s="6">
        <v>979672.23540302436</v>
      </c>
      <c r="Q63" s="6">
        <v>699.57669487009753</v>
      </c>
      <c r="R63" s="6">
        <v>4784.4592452779907</v>
      </c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</row>
    <row r="64" spans="4:48" x14ac:dyDescent="0.3">
      <c r="D64" s="5"/>
      <c r="E64" s="5">
        <v>32</v>
      </c>
      <c r="F64" s="20">
        <v>47060</v>
      </c>
      <c r="G64" s="20">
        <v>47072</v>
      </c>
      <c r="H64" s="5">
        <v>2.6666666666666665</v>
      </c>
      <c r="I64" s="6">
        <v>979672.23540302436</v>
      </c>
      <c r="J64" s="6">
        <v>4988.7033727983862</v>
      </c>
      <c r="K64" s="6">
        <v>4081.9676475126016</v>
      </c>
      <c r="L64" s="6">
        <v>4286.0660298882322</v>
      </c>
      <c r="M64" s="6">
        <v>702.63734291015408</v>
      </c>
      <c r="N64" s="6">
        <v>978969.59806011419</v>
      </c>
      <c r="O64" s="6">
        <v>0</v>
      </c>
      <c r="P64" s="6">
        <v>978969.59806011419</v>
      </c>
      <c r="Q64" s="6">
        <v>702.63734291015408</v>
      </c>
      <c r="R64" s="6">
        <v>4784.6049904227557</v>
      </c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</row>
    <row r="65" spans="4:48" x14ac:dyDescent="0.3">
      <c r="D65" s="5"/>
      <c r="E65" s="5">
        <v>33</v>
      </c>
      <c r="F65" s="20">
        <v>47090</v>
      </c>
      <c r="G65" s="20">
        <v>47102</v>
      </c>
      <c r="H65" s="5">
        <v>2.75</v>
      </c>
      <c r="I65" s="6">
        <v>978969.59806011419</v>
      </c>
      <c r="J65" s="6">
        <v>4988.7033727983862</v>
      </c>
      <c r="K65" s="6">
        <v>4079.0399919171423</v>
      </c>
      <c r="L65" s="6">
        <v>4282.9919915130004</v>
      </c>
      <c r="M65" s="6">
        <v>705.71138128538587</v>
      </c>
      <c r="N65" s="6">
        <v>978263.88667882886</v>
      </c>
      <c r="O65" s="6">
        <v>0</v>
      </c>
      <c r="P65" s="6">
        <v>978263.88667882886</v>
      </c>
      <c r="Q65" s="6">
        <v>705.71138128538587</v>
      </c>
      <c r="R65" s="6">
        <v>4784.7513732025282</v>
      </c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</row>
    <row r="66" spans="4:48" x14ac:dyDescent="0.3">
      <c r="D66" s="5"/>
      <c r="E66" s="5">
        <v>34</v>
      </c>
      <c r="F66" s="20">
        <v>47121</v>
      </c>
      <c r="G66" s="20">
        <v>47133</v>
      </c>
      <c r="H66" s="5">
        <v>2.8333333333333335</v>
      </c>
      <c r="I66" s="6">
        <v>978263.88667882863</v>
      </c>
      <c r="J66" s="6">
        <v>4988.7033727983862</v>
      </c>
      <c r="K66" s="6">
        <v>4076.0995278284527</v>
      </c>
      <c r="L66" s="6">
        <v>4279.9045042198759</v>
      </c>
      <c r="M66" s="6">
        <v>708.79886857851034</v>
      </c>
      <c r="N66" s="6">
        <v>977555.08781025012</v>
      </c>
      <c r="O66" s="6">
        <v>0</v>
      </c>
      <c r="P66" s="6">
        <v>977555.08781025012</v>
      </c>
      <c r="Q66" s="6">
        <v>708.79886857851034</v>
      </c>
      <c r="R66" s="6">
        <v>4784.898396406963</v>
      </c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</row>
    <row r="67" spans="4:48" x14ac:dyDescent="0.3">
      <c r="D67" s="5"/>
      <c r="E67" s="5">
        <v>35</v>
      </c>
      <c r="F67" s="20">
        <v>47152</v>
      </c>
      <c r="G67" s="20">
        <v>47164</v>
      </c>
      <c r="H67" s="5">
        <v>2.9166666666666665</v>
      </c>
      <c r="I67" s="6">
        <v>977555.08781025012</v>
      </c>
      <c r="J67" s="6">
        <v>4988.7033727983862</v>
      </c>
      <c r="K67" s="6">
        <v>4073.1461992093755</v>
      </c>
      <c r="L67" s="6">
        <v>4276.8035091698448</v>
      </c>
      <c r="M67" s="6">
        <v>711.89986362854142</v>
      </c>
      <c r="N67" s="6">
        <v>976843.18794662156</v>
      </c>
      <c r="O67" s="6">
        <v>0</v>
      </c>
      <c r="P67" s="6">
        <v>976843.18794662156</v>
      </c>
      <c r="Q67" s="6">
        <v>711.89986362854142</v>
      </c>
      <c r="R67" s="6">
        <v>4785.0460628379169</v>
      </c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</row>
    <row r="68" spans="4:48" x14ac:dyDescent="0.3">
      <c r="D68" s="5"/>
      <c r="E68" s="5">
        <v>36</v>
      </c>
      <c r="F68" s="20">
        <v>47180</v>
      </c>
      <c r="G68" s="20">
        <v>47192</v>
      </c>
      <c r="H68" s="5">
        <v>3</v>
      </c>
      <c r="I68" s="6">
        <v>976843.18794662179</v>
      </c>
      <c r="J68" s="6">
        <v>4988.7033727983862</v>
      </c>
      <c r="K68" s="6">
        <v>4070.1799497775905</v>
      </c>
      <c r="L68" s="6">
        <v>4273.6889472664707</v>
      </c>
      <c r="M68" s="6">
        <v>715.01442553191555</v>
      </c>
      <c r="N68" s="6">
        <v>976128.17352108983</v>
      </c>
      <c r="O68" s="6">
        <v>0</v>
      </c>
      <c r="P68" s="6">
        <v>976128.17352108983</v>
      </c>
      <c r="Q68" s="6">
        <v>715.01442553191555</v>
      </c>
      <c r="R68" s="6">
        <v>4785.1943753095056</v>
      </c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</row>
    <row r="69" spans="4:48" x14ac:dyDescent="0.3">
      <c r="D69" s="5"/>
      <c r="E69" s="5">
        <v>37</v>
      </c>
      <c r="F69" s="20">
        <v>47211</v>
      </c>
      <c r="G69" s="20">
        <v>47223</v>
      </c>
      <c r="H69" s="5">
        <v>3.0833333333333335</v>
      </c>
      <c r="I69" s="6">
        <v>976128.17352108972</v>
      </c>
      <c r="J69" s="6">
        <v>4988.7033727983862</v>
      </c>
      <c r="K69" s="6">
        <v>4067.2007230045406</v>
      </c>
      <c r="L69" s="6">
        <v>4270.5607591547678</v>
      </c>
      <c r="M69" s="6">
        <v>718.14261364361846</v>
      </c>
      <c r="N69" s="6">
        <v>975410.03090744605</v>
      </c>
      <c r="O69" s="6">
        <v>0</v>
      </c>
      <c r="P69" s="6">
        <v>975410.03090744605</v>
      </c>
      <c r="Q69" s="6">
        <v>718.14261364361846</v>
      </c>
      <c r="R69" s="6">
        <v>4785.3433366481586</v>
      </c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</row>
    <row r="70" spans="4:48" x14ac:dyDescent="0.3">
      <c r="D70" s="5"/>
      <c r="E70" s="5">
        <v>38</v>
      </c>
      <c r="F70" s="20">
        <v>47241</v>
      </c>
      <c r="G70" s="20">
        <v>47253</v>
      </c>
      <c r="H70" s="5">
        <v>3.1666666666666665</v>
      </c>
      <c r="I70" s="6">
        <v>975410.03090744617</v>
      </c>
      <c r="J70" s="6">
        <v>4988.7033727983862</v>
      </c>
      <c r="K70" s="6">
        <v>4064.208462114359</v>
      </c>
      <c r="L70" s="6">
        <v>4267.4188852200778</v>
      </c>
      <c r="M70" s="6">
        <v>721.28448757830847</v>
      </c>
      <c r="N70" s="6">
        <v>974688.74641986785</v>
      </c>
      <c r="O70" s="6">
        <v>0</v>
      </c>
      <c r="P70" s="6">
        <v>974688.74641986785</v>
      </c>
      <c r="Q70" s="6">
        <v>721.28448757830847</v>
      </c>
      <c r="R70" s="6">
        <v>4785.492949692667</v>
      </c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</row>
    <row r="71" spans="4:48" x14ac:dyDescent="0.3">
      <c r="D71" s="5"/>
      <c r="E71" s="5">
        <v>39</v>
      </c>
      <c r="F71" s="20">
        <v>47272</v>
      </c>
      <c r="G71" s="20">
        <v>47284</v>
      </c>
      <c r="H71" s="5">
        <v>3.25</v>
      </c>
      <c r="I71" s="6">
        <v>974688.74641986773</v>
      </c>
      <c r="J71" s="6">
        <v>4988.7033727983862</v>
      </c>
      <c r="K71" s="6">
        <v>4061.2031100827821</v>
      </c>
      <c r="L71" s="6">
        <v>4264.263265586922</v>
      </c>
      <c r="M71" s="6">
        <v>724.44010721146424</v>
      </c>
      <c r="N71" s="6">
        <v>973964.30631265626</v>
      </c>
      <c r="O71" s="6">
        <v>0</v>
      </c>
      <c r="P71" s="6">
        <v>973964.30631265626</v>
      </c>
      <c r="Q71" s="6">
        <v>724.44010721146424</v>
      </c>
      <c r="R71" s="6">
        <v>4785.6432172942459</v>
      </c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</row>
    <row r="72" spans="4:48" x14ac:dyDescent="0.3">
      <c r="D72" s="5"/>
      <c r="E72" s="5">
        <v>40</v>
      </c>
      <c r="F72" s="20">
        <v>47302</v>
      </c>
      <c r="G72" s="20">
        <v>47314</v>
      </c>
      <c r="H72" s="5">
        <v>3.3333333333333335</v>
      </c>
      <c r="I72" s="6">
        <v>973964.30631265638</v>
      </c>
      <c r="J72" s="6">
        <v>4988.7033727983862</v>
      </c>
      <c r="K72" s="6">
        <v>4058.1846096360682</v>
      </c>
      <c r="L72" s="6">
        <v>4261.0938401178719</v>
      </c>
      <c r="M72" s="6">
        <v>727.60953268051435</v>
      </c>
      <c r="N72" s="6">
        <v>973236.6967799759</v>
      </c>
      <c r="O72" s="6">
        <v>0</v>
      </c>
      <c r="P72" s="6">
        <v>973236.6967799759</v>
      </c>
      <c r="Q72" s="6">
        <v>727.60953268051435</v>
      </c>
      <c r="R72" s="6">
        <v>4785.794142316583</v>
      </c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</row>
    <row r="73" spans="4:48" x14ac:dyDescent="0.3">
      <c r="D73" s="5"/>
      <c r="E73" s="5">
        <v>41</v>
      </c>
      <c r="F73" s="20">
        <v>47333</v>
      </c>
      <c r="G73" s="20">
        <v>47345</v>
      </c>
      <c r="H73" s="5">
        <v>3.4166666666666665</v>
      </c>
      <c r="I73" s="6">
        <v>973236.69677997567</v>
      </c>
      <c r="J73" s="6">
        <v>4988.7033727983862</v>
      </c>
      <c r="K73" s="6">
        <v>4055.1529032498984</v>
      </c>
      <c r="L73" s="6">
        <v>4257.9105484123938</v>
      </c>
      <c r="M73" s="6">
        <v>730.79282438599239</v>
      </c>
      <c r="N73" s="6">
        <v>972505.90395558963</v>
      </c>
      <c r="O73" s="6">
        <v>0</v>
      </c>
      <c r="P73" s="6">
        <v>972505.90395558963</v>
      </c>
      <c r="Q73" s="6">
        <v>730.79282438599239</v>
      </c>
      <c r="R73" s="6">
        <v>4785.9457276358908</v>
      </c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</row>
    <row r="74" spans="4:48" x14ac:dyDescent="0.3">
      <c r="D74" s="5"/>
      <c r="E74" s="5">
        <v>42</v>
      </c>
      <c r="F74" s="20">
        <v>47364</v>
      </c>
      <c r="G74" s="20">
        <v>47376</v>
      </c>
      <c r="H74" s="5">
        <v>3.5</v>
      </c>
      <c r="I74" s="6">
        <v>972505.90395558975</v>
      </c>
      <c r="J74" s="6">
        <v>4988.7033727983862</v>
      </c>
      <c r="K74" s="6">
        <v>4052.1079331482906</v>
      </c>
      <c r="L74" s="6">
        <v>4254.7133298057051</v>
      </c>
      <c r="M74" s="6">
        <v>733.99004299268108</v>
      </c>
      <c r="N74" s="6">
        <v>971771.91391259711</v>
      </c>
      <c r="O74" s="6">
        <v>0</v>
      </c>
      <c r="P74" s="6">
        <v>971771.91391259711</v>
      </c>
      <c r="Q74" s="6">
        <v>733.99004299268108</v>
      </c>
      <c r="R74" s="6">
        <v>4786.0979761409717</v>
      </c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</row>
    <row r="75" spans="4:48" x14ac:dyDescent="0.3">
      <c r="D75" s="5"/>
      <c r="E75" s="5">
        <v>43</v>
      </c>
      <c r="F75" s="20">
        <v>47394</v>
      </c>
      <c r="G75" s="20">
        <v>47406</v>
      </c>
      <c r="H75" s="5">
        <v>3.5833333333333335</v>
      </c>
      <c r="I75" s="6">
        <v>971771.913912597</v>
      </c>
      <c r="J75" s="6">
        <v>4988.7033727983862</v>
      </c>
      <c r="K75" s="6">
        <v>4049.0496413024875</v>
      </c>
      <c r="L75" s="6">
        <v>4251.5021233676125</v>
      </c>
      <c r="M75" s="6">
        <v>737.20124943077371</v>
      </c>
      <c r="N75" s="6">
        <v>971034.71266316622</v>
      </c>
      <c r="O75" s="6">
        <v>0</v>
      </c>
      <c r="P75" s="6">
        <v>971034.71266316622</v>
      </c>
      <c r="Q75" s="6">
        <v>737.20124943077371</v>
      </c>
      <c r="R75" s="6">
        <v>4786.2508907332613</v>
      </c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</row>
    <row r="76" spans="4:48" x14ac:dyDescent="0.3">
      <c r="D76" s="5"/>
      <c r="E76" s="5">
        <v>44</v>
      </c>
      <c r="F76" s="20">
        <v>47425</v>
      </c>
      <c r="G76" s="20">
        <v>47437</v>
      </c>
      <c r="H76" s="5">
        <v>3.6666666666666665</v>
      </c>
      <c r="I76" s="6">
        <v>971034.71266316622</v>
      </c>
      <c r="J76" s="6">
        <v>4988.7033727983862</v>
      </c>
      <c r="K76" s="6">
        <v>4045.9779694298591</v>
      </c>
      <c r="L76" s="6">
        <v>4248.2768679013525</v>
      </c>
      <c r="M76" s="6">
        <v>740.42650489703374</v>
      </c>
      <c r="N76" s="6">
        <v>970294.28615826915</v>
      </c>
      <c r="O76" s="6">
        <v>0</v>
      </c>
      <c r="P76" s="6">
        <v>970294.28615826915</v>
      </c>
      <c r="Q76" s="6">
        <v>740.42650489703374</v>
      </c>
      <c r="R76" s="6">
        <v>4786.4044743268933</v>
      </c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</row>
    <row r="77" spans="4:48" x14ac:dyDescent="0.3">
      <c r="D77" s="5"/>
      <c r="E77" s="5">
        <v>45</v>
      </c>
      <c r="F77" s="20">
        <v>47455</v>
      </c>
      <c r="G77" s="20">
        <v>47467</v>
      </c>
      <c r="H77" s="5">
        <v>3.75</v>
      </c>
      <c r="I77" s="6">
        <v>970294.28615826904</v>
      </c>
      <c r="J77" s="6">
        <v>4988.7033727983862</v>
      </c>
      <c r="K77" s="6">
        <v>4042.8928589927878</v>
      </c>
      <c r="L77" s="6">
        <v>4245.0375019424273</v>
      </c>
      <c r="M77" s="6">
        <v>743.66587085595893</v>
      </c>
      <c r="N77" s="6">
        <v>969550.62028741313</v>
      </c>
      <c r="O77" s="6">
        <v>0</v>
      </c>
      <c r="P77" s="6">
        <v>969550.62028741313</v>
      </c>
      <c r="Q77" s="6">
        <v>743.66587085595893</v>
      </c>
      <c r="R77" s="6">
        <v>4786.5587298487462</v>
      </c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</row>
    <row r="78" spans="4:48" x14ac:dyDescent="0.3">
      <c r="D78" s="5"/>
      <c r="E78" s="5">
        <v>46</v>
      </c>
      <c r="F78" s="20">
        <v>47486</v>
      </c>
      <c r="G78" s="20">
        <v>47498</v>
      </c>
      <c r="H78" s="5">
        <v>3.8333333333333335</v>
      </c>
      <c r="I78" s="6">
        <v>969550.62028741313</v>
      </c>
      <c r="J78" s="6">
        <v>4988.7033727983862</v>
      </c>
      <c r="K78" s="6">
        <v>4039.7942511975548</v>
      </c>
      <c r="L78" s="6">
        <v>4241.7839637574325</v>
      </c>
      <c r="M78" s="6">
        <v>746.91940904095372</v>
      </c>
      <c r="N78" s="6">
        <v>968803.70087837218</v>
      </c>
      <c r="O78" s="6">
        <v>0</v>
      </c>
      <c r="P78" s="6">
        <v>968803.70087837218</v>
      </c>
      <c r="Q78" s="6">
        <v>746.91940904095372</v>
      </c>
      <c r="R78" s="6">
        <v>4786.713660238509</v>
      </c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</row>
    <row r="79" spans="4:48" x14ac:dyDescent="0.3">
      <c r="D79" s="5"/>
      <c r="E79" s="5">
        <v>47</v>
      </c>
      <c r="F79" s="20">
        <v>47517</v>
      </c>
      <c r="G79" s="20">
        <v>47529</v>
      </c>
      <c r="H79" s="5">
        <v>3.9166666666666665</v>
      </c>
      <c r="I79" s="6">
        <v>968803.70087837218</v>
      </c>
      <c r="J79" s="6">
        <v>4988.7033727983862</v>
      </c>
      <c r="K79" s="6">
        <v>4036.6820869932176</v>
      </c>
      <c r="L79" s="6">
        <v>4238.5161913428783</v>
      </c>
      <c r="M79" s="6">
        <v>750.18718145550793</v>
      </c>
      <c r="N79" s="6">
        <v>968053.51369691663</v>
      </c>
      <c r="O79" s="6">
        <v>0</v>
      </c>
      <c r="P79" s="6">
        <v>968053.51369691663</v>
      </c>
      <c r="Q79" s="6">
        <v>750.18718145550793</v>
      </c>
      <c r="R79" s="6">
        <v>4786.8692684487251</v>
      </c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</row>
    <row r="80" spans="4:48" x14ac:dyDescent="0.3">
      <c r="D80" s="5"/>
      <c r="E80" s="5">
        <v>48</v>
      </c>
      <c r="F80" s="20">
        <v>47545</v>
      </c>
      <c r="G80" s="20">
        <v>47557</v>
      </c>
      <c r="H80" s="5">
        <v>4</v>
      </c>
      <c r="I80" s="6">
        <v>968053.51369691675</v>
      </c>
      <c r="J80" s="6">
        <v>4988.7033727983862</v>
      </c>
      <c r="K80" s="6">
        <v>4033.5563070704866</v>
      </c>
      <c r="L80" s="6">
        <v>4235.2341224240108</v>
      </c>
      <c r="M80" s="6">
        <v>753.46925037437541</v>
      </c>
      <c r="N80" s="6">
        <v>967300.04444654239</v>
      </c>
      <c r="O80" s="6">
        <v>0</v>
      </c>
      <c r="P80" s="6">
        <v>967300.04444654239</v>
      </c>
      <c r="Q80" s="6">
        <v>753.46925037437541</v>
      </c>
      <c r="R80" s="6">
        <v>4787.025557444862</v>
      </c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</row>
    <row r="81" spans="4:48" x14ac:dyDescent="0.3">
      <c r="D81" s="5"/>
      <c r="E81" s="5">
        <v>49</v>
      </c>
      <c r="F81" s="20">
        <v>47576</v>
      </c>
      <c r="G81" s="20">
        <v>47588</v>
      </c>
      <c r="H81" s="5">
        <v>4.083333333333333</v>
      </c>
      <c r="I81" s="6">
        <v>967300.04444654216</v>
      </c>
      <c r="J81" s="6">
        <v>4988.7033727983862</v>
      </c>
      <c r="K81" s="6">
        <v>4030.4168518605925</v>
      </c>
      <c r="L81" s="6">
        <v>4231.9376944536225</v>
      </c>
      <c r="M81" s="6">
        <v>756.76567834476373</v>
      </c>
      <c r="N81" s="6">
        <v>966543.2787681974</v>
      </c>
      <c r="O81" s="6">
        <v>0</v>
      </c>
      <c r="P81" s="6">
        <v>966543.2787681974</v>
      </c>
      <c r="Q81" s="6">
        <v>756.76567834476373</v>
      </c>
      <c r="R81" s="6">
        <v>4787.1825302053567</v>
      </c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</row>
    <row r="82" spans="4:48" x14ac:dyDescent="0.3">
      <c r="D82" s="5"/>
      <c r="E82" s="5">
        <v>50</v>
      </c>
      <c r="F82" s="20">
        <v>47606</v>
      </c>
      <c r="G82" s="20">
        <v>47618</v>
      </c>
      <c r="H82" s="5">
        <v>4.166666666666667</v>
      </c>
      <c r="I82" s="6">
        <v>966543.27876819763</v>
      </c>
      <c r="J82" s="6">
        <v>4988.7033727983862</v>
      </c>
      <c r="K82" s="6">
        <v>4027.2636615341567</v>
      </c>
      <c r="L82" s="6">
        <v>4228.6268446108652</v>
      </c>
      <c r="M82" s="6">
        <v>760.07652818752103</v>
      </c>
      <c r="N82" s="6">
        <v>965783.20224001014</v>
      </c>
      <c r="O82" s="6">
        <v>0</v>
      </c>
      <c r="P82" s="6">
        <v>965783.20224001014</v>
      </c>
      <c r="Q82" s="6">
        <v>760.07652818752103</v>
      </c>
      <c r="R82" s="6">
        <v>4787.3401897216772</v>
      </c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</row>
    <row r="83" spans="4:48" x14ac:dyDescent="0.3">
      <c r="D83" s="5"/>
      <c r="E83" s="5">
        <v>51</v>
      </c>
      <c r="F83" s="20">
        <v>47637</v>
      </c>
      <c r="G83" s="20">
        <v>47649</v>
      </c>
      <c r="H83" s="5">
        <v>4.25</v>
      </c>
      <c r="I83" s="6">
        <v>965783.20224000991</v>
      </c>
      <c r="J83" s="6">
        <v>4988.7033727983862</v>
      </c>
      <c r="K83" s="6">
        <v>4024.096676000041</v>
      </c>
      <c r="L83" s="6">
        <v>4225.3015098000442</v>
      </c>
      <c r="M83" s="6">
        <v>763.40186299834204</v>
      </c>
      <c r="N83" s="6">
        <v>965019.80037701153</v>
      </c>
      <c r="O83" s="6">
        <v>0</v>
      </c>
      <c r="P83" s="6">
        <v>965019.80037701153</v>
      </c>
      <c r="Q83" s="6">
        <v>763.40186299834204</v>
      </c>
      <c r="R83" s="6">
        <v>4787.4985389983831</v>
      </c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</row>
    <row r="84" spans="4:48" x14ac:dyDescent="0.3">
      <c r="D84" s="5"/>
      <c r="E84" s="5">
        <v>52</v>
      </c>
      <c r="F84" s="20">
        <v>47667</v>
      </c>
      <c r="G84" s="20">
        <v>47679</v>
      </c>
      <c r="H84" s="5">
        <v>4.333333333333333</v>
      </c>
      <c r="I84" s="6">
        <v>965019.80037701153</v>
      </c>
      <c r="J84" s="6">
        <v>4988.7033727983862</v>
      </c>
      <c r="K84" s="6">
        <v>4020.9158349042145</v>
      </c>
      <c r="L84" s="6">
        <v>4221.9616266494259</v>
      </c>
      <c r="M84" s="6">
        <v>766.74174614896037</v>
      </c>
      <c r="N84" s="6">
        <v>964253.05863086262</v>
      </c>
      <c r="O84" s="6">
        <v>0</v>
      </c>
      <c r="P84" s="6">
        <v>964253.05863086262</v>
      </c>
      <c r="Q84" s="6">
        <v>766.74174614896037</v>
      </c>
      <c r="R84" s="6">
        <v>4787.6575810531749</v>
      </c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</row>
    <row r="85" spans="4:48" x14ac:dyDescent="0.3">
      <c r="D85" s="5"/>
      <c r="E85" s="5">
        <v>53</v>
      </c>
      <c r="F85" s="20">
        <v>47698</v>
      </c>
      <c r="G85" s="20">
        <v>47710</v>
      </c>
      <c r="H85" s="5">
        <v>4.416666666666667</v>
      </c>
      <c r="I85" s="6">
        <v>964253.05863086274</v>
      </c>
      <c r="J85" s="6">
        <v>4988.7033727983862</v>
      </c>
      <c r="K85" s="6">
        <v>4017.7210776285947</v>
      </c>
      <c r="L85" s="6">
        <v>4218.6071315100253</v>
      </c>
      <c r="M85" s="6">
        <v>770.09624128836094</v>
      </c>
      <c r="N85" s="6">
        <v>963482.96238957439</v>
      </c>
      <c r="O85" s="6">
        <v>0</v>
      </c>
      <c r="P85" s="6">
        <v>963482.96238957439</v>
      </c>
      <c r="Q85" s="6">
        <v>770.09624128836094</v>
      </c>
      <c r="R85" s="6">
        <v>4787.8173189169556</v>
      </c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</row>
    <row r="86" spans="4:48" x14ac:dyDescent="0.3">
      <c r="D86" s="5"/>
      <c r="E86" s="5">
        <v>54</v>
      </c>
      <c r="F86" s="20">
        <v>47729</v>
      </c>
      <c r="G86" s="20">
        <v>47741</v>
      </c>
      <c r="H86" s="5">
        <v>4.5</v>
      </c>
      <c r="I86" s="6">
        <v>963482.96238957439</v>
      </c>
      <c r="J86" s="6">
        <v>4988.7033727983862</v>
      </c>
      <c r="K86" s="6">
        <v>4014.5123432898931</v>
      </c>
      <c r="L86" s="6">
        <v>4215.2379604543885</v>
      </c>
      <c r="M86" s="6">
        <v>773.46541234399774</v>
      </c>
      <c r="N86" s="6">
        <v>962709.49697723042</v>
      </c>
      <c r="O86" s="6">
        <v>0</v>
      </c>
      <c r="P86" s="6">
        <v>962709.49697723042</v>
      </c>
      <c r="Q86" s="6">
        <v>773.46541234399774</v>
      </c>
      <c r="R86" s="6">
        <v>4787.9777556338904</v>
      </c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</row>
    <row r="87" spans="4:48" x14ac:dyDescent="0.3">
      <c r="D87" s="5"/>
      <c r="E87" s="5">
        <v>55</v>
      </c>
      <c r="F87" s="20">
        <v>47759</v>
      </c>
      <c r="G87" s="20">
        <v>47771</v>
      </c>
      <c r="H87" s="5">
        <v>4.583333333333333</v>
      </c>
      <c r="I87" s="6">
        <v>962709.4969772303</v>
      </c>
      <c r="J87" s="6">
        <v>4988.7033727983862</v>
      </c>
      <c r="K87" s="6">
        <v>4011.2895707384596</v>
      </c>
      <c r="L87" s="6">
        <v>4211.8540492753827</v>
      </c>
      <c r="M87" s="6">
        <v>776.84932352300348</v>
      </c>
      <c r="N87" s="6">
        <v>961932.6476537073</v>
      </c>
      <c r="O87" s="6">
        <v>0</v>
      </c>
      <c r="P87" s="6">
        <v>961932.6476537073</v>
      </c>
      <c r="Q87" s="6">
        <v>776.84932352300348</v>
      </c>
      <c r="R87" s="6">
        <v>4788.1388942614631</v>
      </c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</row>
    <row r="88" spans="4:48" x14ac:dyDescent="0.3">
      <c r="D88" s="5"/>
      <c r="E88" s="5">
        <v>56</v>
      </c>
      <c r="F88" s="20">
        <v>47790</v>
      </c>
      <c r="G88" s="20">
        <v>47802</v>
      </c>
      <c r="H88" s="5">
        <v>4.666666666666667</v>
      </c>
      <c r="I88" s="6">
        <v>961932.6476537073</v>
      </c>
      <c r="J88" s="6">
        <v>4988.7033727983862</v>
      </c>
      <c r="K88" s="6">
        <v>4008.0526985571137</v>
      </c>
      <c r="L88" s="6">
        <v>4208.4553334849697</v>
      </c>
      <c r="M88" s="6">
        <v>780.24803931341648</v>
      </c>
      <c r="N88" s="6">
        <v>961152.39961439394</v>
      </c>
      <c r="O88" s="6">
        <v>0</v>
      </c>
      <c r="P88" s="6">
        <v>961152.39961439394</v>
      </c>
      <c r="Q88" s="6">
        <v>780.24803931341648</v>
      </c>
      <c r="R88" s="6">
        <v>4788.3007378705297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</row>
    <row r="89" spans="4:48" x14ac:dyDescent="0.3">
      <c r="D89" s="5"/>
      <c r="E89" s="5">
        <v>57</v>
      </c>
      <c r="F89" s="20">
        <v>47820</v>
      </c>
      <c r="G89" s="20">
        <v>47832</v>
      </c>
      <c r="H89" s="5">
        <v>4.75</v>
      </c>
      <c r="I89" s="6">
        <v>961152.39961439371</v>
      </c>
      <c r="J89" s="6">
        <v>4988.7033727983862</v>
      </c>
      <c r="K89" s="6">
        <v>4004.8016650599739</v>
      </c>
      <c r="L89" s="6">
        <v>4205.0417483129731</v>
      </c>
      <c r="M89" s="6">
        <v>783.66162448541309</v>
      </c>
      <c r="N89" s="6">
        <v>960368.73798990832</v>
      </c>
      <c r="O89" s="6">
        <v>0</v>
      </c>
      <c r="P89" s="6">
        <v>960368.73798990832</v>
      </c>
      <c r="Q89" s="6">
        <v>783.66162448541309</v>
      </c>
      <c r="R89" s="6">
        <v>4788.4632895453869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</row>
    <row r="90" spans="4:48" x14ac:dyDescent="0.3">
      <c r="D90" s="5"/>
      <c r="E90" s="5">
        <v>58</v>
      </c>
      <c r="F90" s="20">
        <v>47851</v>
      </c>
      <c r="G90" s="20">
        <v>47863</v>
      </c>
      <c r="H90" s="5">
        <v>4.833333333333333</v>
      </c>
      <c r="I90" s="6">
        <v>960368.73798990832</v>
      </c>
      <c r="J90" s="6">
        <v>4988.7033727983862</v>
      </c>
      <c r="K90" s="6">
        <v>4001.5364082912847</v>
      </c>
      <c r="L90" s="6">
        <v>4201.613228705849</v>
      </c>
      <c r="M90" s="6">
        <v>787.09014409253723</v>
      </c>
      <c r="N90" s="6">
        <v>959581.64784581575</v>
      </c>
      <c r="O90" s="6">
        <v>0</v>
      </c>
      <c r="P90" s="6">
        <v>959581.64784581575</v>
      </c>
      <c r="Q90" s="6">
        <v>787.09014409253723</v>
      </c>
      <c r="R90" s="6">
        <v>4788.6265523838219</v>
      </c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</row>
    <row r="91" spans="4:48" x14ac:dyDescent="0.3">
      <c r="D91" s="5"/>
      <c r="E91" s="5">
        <v>59</v>
      </c>
      <c r="F91" s="20">
        <v>47882</v>
      </c>
      <c r="G91" s="20">
        <v>47894</v>
      </c>
      <c r="H91" s="5">
        <v>4.916666666666667</v>
      </c>
      <c r="I91" s="6">
        <v>959581.64784581575</v>
      </c>
      <c r="J91" s="6">
        <v>4988.7033727983862</v>
      </c>
      <c r="K91" s="6">
        <v>3998.2568660242323</v>
      </c>
      <c r="L91" s="6">
        <v>4198.1697093254443</v>
      </c>
      <c r="M91" s="6">
        <v>790.53366347294195</v>
      </c>
      <c r="N91" s="6">
        <v>958791.11418234278</v>
      </c>
      <c r="O91" s="6">
        <v>0</v>
      </c>
      <c r="P91" s="6">
        <v>958791.11418234278</v>
      </c>
      <c r="Q91" s="6">
        <v>790.53366347294195</v>
      </c>
      <c r="R91" s="6">
        <v>4788.7905294971742</v>
      </c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</row>
    <row r="92" spans="4:48" x14ac:dyDescent="0.3">
      <c r="D92" s="5"/>
      <c r="E92" s="5">
        <v>60</v>
      </c>
      <c r="F92" s="20">
        <v>47910</v>
      </c>
      <c r="G92" s="20">
        <v>47922</v>
      </c>
      <c r="H92" s="5">
        <v>5</v>
      </c>
      <c r="I92" s="6">
        <v>958791.11418234278</v>
      </c>
      <c r="J92" s="6">
        <v>4988.7033727983862</v>
      </c>
      <c r="K92" s="6">
        <v>3994.9629757597613</v>
      </c>
      <c r="L92" s="6">
        <v>4194.7111245477499</v>
      </c>
      <c r="M92" s="6">
        <v>793.99224825063629</v>
      </c>
      <c r="N92" s="6">
        <v>957997.12193409214</v>
      </c>
      <c r="O92" s="6">
        <v>0</v>
      </c>
      <c r="P92" s="6">
        <v>957997.12193409214</v>
      </c>
      <c r="Q92" s="6">
        <v>793.99224825063629</v>
      </c>
      <c r="R92" s="6">
        <v>4788.9552240103976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</row>
    <row r="93" spans="4:48" x14ac:dyDescent="0.3">
      <c r="D93" s="5"/>
      <c r="E93" s="5">
        <v>61</v>
      </c>
      <c r="F93" s="20">
        <v>47941</v>
      </c>
      <c r="G93" s="20">
        <v>47953</v>
      </c>
      <c r="H93" s="5">
        <v>5.083333333333333</v>
      </c>
      <c r="I93" s="6">
        <v>957997.12193409225</v>
      </c>
      <c r="J93" s="6">
        <v>4988.7033727983862</v>
      </c>
      <c r="K93" s="6">
        <v>3991.6546747253842</v>
      </c>
      <c r="L93" s="6">
        <v>4191.237408461654</v>
      </c>
      <c r="M93" s="6">
        <v>797.46596433673221</v>
      </c>
      <c r="N93" s="6">
        <v>957199.65596975549</v>
      </c>
      <c r="O93" s="6">
        <v>0</v>
      </c>
      <c r="P93" s="6">
        <v>957199.65596975549</v>
      </c>
      <c r="Q93" s="6">
        <v>797.46596433673221</v>
      </c>
      <c r="R93" s="6">
        <v>4789.1206390621164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</row>
    <row r="94" spans="4:48" x14ac:dyDescent="0.3">
      <c r="D94" s="5"/>
      <c r="E94" s="5">
        <v>62</v>
      </c>
      <c r="F94" s="20">
        <v>47971</v>
      </c>
      <c r="G94" s="20">
        <v>47983</v>
      </c>
      <c r="H94" s="5">
        <v>5.166666666666667</v>
      </c>
      <c r="I94" s="6">
        <v>957199.65596975549</v>
      </c>
      <c r="J94" s="6">
        <v>4988.7033727983862</v>
      </c>
      <c r="K94" s="6">
        <v>3988.331899873981</v>
      </c>
      <c r="L94" s="6">
        <v>4187.7484948676811</v>
      </c>
      <c r="M94" s="6">
        <v>800.95487793070515</v>
      </c>
      <c r="N94" s="6">
        <v>956398.7010918248</v>
      </c>
      <c r="O94" s="6">
        <v>0</v>
      </c>
      <c r="P94" s="6">
        <v>956398.7010918248</v>
      </c>
      <c r="Q94" s="6">
        <v>800.95487793070515</v>
      </c>
      <c r="R94" s="6">
        <v>4789.2867778046857</v>
      </c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</row>
    <row r="95" spans="4:48" x14ac:dyDescent="0.3">
      <c r="D95" s="5"/>
      <c r="E95" s="5">
        <v>63</v>
      </c>
      <c r="F95" s="20">
        <v>48002</v>
      </c>
      <c r="G95" s="20">
        <v>48014</v>
      </c>
      <c r="H95" s="5">
        <v>5.25</v>
      </c>
      <c r="I95" s="6">
        <v>956398.7010918248</v>
      </c>
      <c r="J95" s="6">
        <v>4988.7033727983862</v>
      </c>
      <c r="K95" s="6">
        <v>3984.9945878826034</v>
      </c>
      <c r="L95" s="6">
        <v>4184.2443172767335</v>
      </c>
      <c r="M95" s="6">
        <v>804.45905552165277</v>
      </c>
      <c r="N95" s="6">
        <v>955594.24203630316</v>
      </c>
      <c r="O95" s="6">
        <v>0</v>
      </c>
      <c r="P95" s="6">
        <v>955594.24203630316</v>
      </c>
      <c r="Q95" s="6">
        <v>804.45905552165277</v>
      </c>
      <c r="R95" s="6">
        <v>4789.4536434042566</v>
      </c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</row>
    <row r="96" spans="4:48" x14ac:dyDescent="0.3">
      <c r="D96" s="5"/>
      <c r="E96" s="5">
        <v>64</v>
      </c>
      <c r="F96" s="20">
        <v>48032</v>
      </c>
      <c r="G96" s="20">
        <v>48044</v>
      </c>
      <c r="H96" s="5">
        <v>5.333333333333333</v>
      </c>
      <c r="I96" s="6">
        <v>955594.24203630304</v>
      </c>
      <c r="J96" s="6">
        <v>4988.7033727983862</v>
      </c>
      <c r="K96" s="6">
        <v>3981.6426751512627</v>
      </c>
      <c r="L96" s="6">
        <v>4180.7248089088262</v>
      </c>
      <c r="M96" s="6">
        <v>807.97856388956006</v>
      </c>
      <c r="N96" s="6">
        <v>954786.26347241353</v>
      </c>
      <c r="O96" s="6">
        <v>0</v>
      </c>
      <c r="P96" s="6">
        <v>954786.26347241353</v>
      </c>
      <c r="Q96" s="6">
        <v>807.97856388956006</v>
      </c>
      <c r="R96" s="6">
        <v>4789.6212390408227</v>
      </c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</row>
    <row r="97" spans="4:48" x14ac:dyDescent="0.3">
      <c r="D97" s="5"/>
      <c r="E97" s="5">
        <v>65</v>
      </c>
      <c r="F97" s="20">
        <v>48063</v>
      </c>
      <c r="G97" s="20">
        <v>48075</v>
      </c>
      <c r="H97" s="5">
        <v>5.416666666666667</v>
      </c>
      <c r="I97" s="6">
        <v>954786.26347241341</v>
      </c>
      <c r="J97" s="6">
        <v>4988.7033727983862</v>
      </c>
      <c r="K97" s="6">
        <v>3978.2760978017227</v>
      </c>
      <c r="L97" s="6">
        <v>4177.189902691809</v>
      </c>
      <c r="M97" s="6">
        <v>811.51347010657719</v>
      </c>
      <c r="N97" s="6">
        <v>953974.75000230689</v>
      </c>
      <c r="O97" s="6">
        <v>0</v>
      </c>
      <c r="P97" s="6">
        <v>953974.75000230689</v>
      </c>
      <c r="Q97" s="6">
        <v>811.51347010657719</v>
      </c>
      <c r="R97" s="6">
        <v>4789.7895679082994</v>
      </c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</row>
    <row r="98" spans="4:48" x14ac:dyDescent="0.3">
      <c r="D98" s="5"/>
      <c r="E98" s="5">
        <v>66</v>
      </c>
      <c r="F98" s="20">
        <v>48094</v>
      </c>
      <c r="G98" s="20">
        <v>48106</v>
      </c>
      <c r="H98" s="5">
        <v>5.5</v>
      </c>
      <c r="I98" s="6">
        <v>953974.75000230689</v>
      </c>
      <c r="J98" s="6">
        <v>4988.7033727983862</v>
      </c>
      <c r="K98" s="6">
        <v>3974.8947916762786</v>
      </c>
      <c r="L98" s="6">
        <v>4173.6395312600935</v>
      </c>
      <c r="M98" s="6">
        <v>815.06384153829276</v>
      </c>
      <c r="N98" s="6">
        <v>953159.68616076862</v>
      </c>
      <c r="O98" s="6">
        <v>0</v>
      </c>
      <c r="P98" s="6">
        <v>953159.68616076862</v>
      </c>
      <c r="Q98" s="6">
        <v>815.06384153829276</v>
      </c>
      <c r="R98" s="6">
        <v>4789.9586332145718</v>
      </c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</row>
    <row r="99" spans="4:48" x14ac:dyDescent="0.3">
      <c r="D99" s="5"/>
      <c r="E99" s="5">
        <v>67</v>
      </c>
      <c r="F99" s="20">
        <v>48124</v>
      </c>
      <c r="G99" s="20">
        <v>48136</v>
      </c>
      <c r="H99" s="5">
        <v>5.583333333333333</v>
      </c>
      <c r="I99" s="6">
        <v>953159.68616076838</v>
      </c>
      <c r="J99" s="6">
        <v>4988.7033727983862</v>
      </c>
      <c r="K99" s="6">
        <v>3971.498692336535</v>
      </c>
      <c r="L99" s="6">
        <v>4170.0736269533618</v>
      </c>
      <c r="M99" s="6">
        <v>818.62974584502444</v>
      </c>
      <c r="N99" s="6">
        <v>952341.0564149234</v>
      </c>
      <c r="O99" s="6">
        <v>0</v>
      </c>
      <c r="P99" s="6">
        <v>952341.0564149234</v>
      </c>
      <c r="Q99" s="6">
        <v>818.62974584502444</v>
      </c>
      <c r="R99" s="6">
        <v>4790.1284381815594</v>
      </c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</row>
    <row r="100" spans="4:48" x14ac:dyDescent="0.3">
      <c r="D100" s="5"/>
      <c r="E100" s="5">
        <v>68</v>
      </c>
      <c r="F100" s="20">
        <v>48155</v>
      </c>
      <c r="G100" s="20">
        <v>48167</v>
      </c>
      <c r="H100" s="5">
        <v>5.666666666666667</v>
      </c>
      <c r="I100" s="6">
        <v>952341.05641492351</v>
      </c>
      <c r="J100" s="6">
        <v>4988.7033727983862</v>
      </c>
      <c r="K100" s="6">
        <v>3968.0877350621813</v>
      </c>
      <c r="L100" s="6">
        <v>4166.4921218152904</v>
      </c>
      <c r="M100" s="6">
        <v>822.21125098309585</v>
      </c>
      <c r="N100" s="6">
        <v>951518.84516394045</v>
      </c>
      <c r="O100" s="6">
        <v>0</v>
      </c>
      <c r="P100" s="6">
        <v>951518.84516394045</v>
      </c>
      <c r="Q100" s="6">
        <v>822.21125098309585</v>
      </c>
      <c r="R100" s="6">
        <v>4790.2989860452772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</row>
    <row r="101" spans="4:48" x14ac:dyDescent="0.3">
      <c r="D101" s="5"/>
      <c r="E101" s="5">
        <v>69</v>
      </c>
      <c r="F101" s="20">
        <v>48185</v>
      </c>
      <c r="G101" s="20">
        <v>48197</v>
      </c>
      <c r="H101" s="5">
        <v>5.75</v>
      </c>
      <c r="I101" s="6">
        <v>951518.84516394045</v>
      </c>
      <c r="J101" s="6">
        <v>4988.7033727983862</v>
      </c>
      <c r="K101" s="6">
        <v>3964.6618548497518</v>
      </c>
      <c r="L101" s="6">
        <v>4162.89494759224</v>
      </c>
      <c r="M101" s="6">
        <v>825.80842520614624</v>
      </c>
      <c r="N101" s="6">
        <v>950693.03673873434</v>
      </c>
      <c r="O101" s="6">
        <v>0</v>
      </c>
      <c r="P101" s="6">
        <v>950693.03673873434</v>
      </c>
      <c r="Q101" s="6">
        <v>825.80842520614624</v>
      </c>
      <c r="R101" s="6">
        <v>4790.470280055898</v>
      </c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</row>
    <row r="102" spans="4:48" x14ac:dyDescent="0.3">
      <c r="D102" s="5"/>
      <c r="E102" s="5">
        <v>70</v>
      </c>
      <c r="F102" s="20">
        <v>48216</v>
      </c>
      <c r="G102" s="20">
        <v>48228</v>
      </c>
      <c r="H102" s="5">
        <v>5.833333333333333</v>
      </c>
      <c r="I102" s="6">
        <v>950693.03673873411</v>
      </c>
      <c r="J102" s="6">
        <v>4988.7033727983862</v>
      </c>
      <c r="K102" s="6">
        <v>3961.220986411392</v>
      </c>
      <c r="L102" s="6">
        <v>4159.2820357319624</v>
      </c>
      <c r="M102" s="6">
        <v>829.4213370664238</v>
      </c>
      <c r="N102" s="6">
        <v>949863.61540166766</v>
      </c>
      <c r="O102" s="6">
        <v>0</v>
      </c>
      <c r="P102" s="6">
        <v>949863.61540166766</v>
      </c>
      <c r="Q102" s="6">
        <v>829.4213370664238</v>
      </c>
      <c r="R102" s="6">
        <v>4790.6423234778158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</row>
    <row r="103" spans="4:48" x14ac:dyDescent="0.3">
      <c r="D103" s="5"/>
      <c r="E103" s="5">
        <v>71</v>
      </c>
      <c r="F103" s="20">
        <v>48247</v>
      </c>
      <c r="G103" s="20">
        <v>48259</v>
      </c>
      <c r="H103" s="5">
        <v>5.916666666666667</v>
      </c>
      <c r="I103" s="6">
        <v>949863.61540166778</v>
      </c>
      <c r="J103" s="6">
        <v>4988.7033727983862</v>
      </c>
      <c r="K103" s="6">
        <v>3957.7650641736159</v>
      </c>
      <c r="L103" s="6">
        <v>4155.6533173822972</v>
      </c>
      <c r="M103" s="6">
        <v>833.05005541608898</v>
      </c>
      <c r="N103" s="6">
        <v>949030.56534625171</v>
      </c>
      <c r="O103" s="6">
        <v>0</v>
      </c>
      <c r="P103" s="6">
        <v>949030.56534625171</v>
      </c>
      <c r="Q103" s="6">
        <v>833.05005541608898</v>
      </c>
      <c r="R103" s="6">
        <v>4790.8151195897044</v>
      </c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</row>
    <row r="104" spans="4:48" x14ac:dyDescent="0.3">
      <c r="D104" s="5"/>
      <c r="E104" s="5">
        <v>72</v>
      </c>
      <c r="F104" s="20">
        <v>48276</v>
      </c>
      <c r="G104" s="20">
        <v>48288</v>
      </c>
      <c r="H104" s="5">
        <v>6</v>
      </c>
      <c r="I104" s="6">
        <v>949030.56534625171</v>
      </c>
      <c r="J104" s="6">
        <v>4988.7033727983862</v>
      </c>
      <c r="K104" s="6">
        <v>3954.2940222760485</v>
      </c>
      <c r="L104" s="6">
        <v>4152.0087233898512</v>
      </c>
      <c r="M104" s="6">
        <v>836.69464940853504</v>
      </c>
      <c r="N104" s="6">
        <v>948193.87069684314</v>
      </c>
      <c r="O104" s="6">
        <v>0</v>
      </c>
      <c r="P104" s="6">
        <v>948193.87069684314</v>
      </c>
      <c r="Q104" s="6">
        <v>836.69464940853504</v>
      </c>
      <c r="R104" s="6">
        <v>4790.9886716845831</v>
      </c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</row>
    <row r="105" spans="4:48" x14ac:dyDescent="0.3">
      <c r="D105" s="5"/>
      <c r="E105" s="5">
        <v>73</v>
      </c>
      <c r="F105" s="20">
        <v>48307</v>
      </c>
      <c r="G105" s="20">
        <v>48319</v>
      </c>
      <c r="H105" s="5">
        <v>6.083333333333333</v>
      </c>
      <c r="I105" s="6">
        <v>948193.87069684325</v>
      </c>
      <c r="J105" s="6">
        <v>4988.7033727983862</v>
      </c>
      <c r="K105" s="6">
        <v>3950.8077945701802</v>
      </c>
      <c r="L105" s="6">
        <v>4148.3481842986894</v>
      </c>
      <c r="M105" s="6">
        <v>840.35518849969685</v>
      </c>
      <c r="N105" s="6">
        <v>947353.51550834358</v>
      </c>
      <c r="O105" s="6">
        <v>0</v>
      </c>
      <c r="P105" s="6">
        <v>947353.51550834358</v>
      </c>
      <c r="Q105" s="6">
        <v>840.35518849969685</v>
      </c>
      <c r="R105" s="6">
        <v>4791.1629830698766</v>
      </c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</row>
    <row r="106" spans="4:48" x14ac:dyDescent="0.3">
      <c r="D106" s="5"/>
      <c r="E106" s="5">
        <v>74</v>
      </c>
      <c r="F106" s="20">
        <v>48337</v>
      </c>
      <c r="G106" s="20">
        <v>48349</v>
      </c>
      <c r="H106" s="5">
        <v>6.166666666666667</v>
      </c>
      <c r="I106" s="6">
        <v>947353.51550834335</v>
      </c>
      <c r="J106" s="6">
        <v>4988.7033727983862</v>
      </c>
      <c r="K106" s="6">
        <v>3947.3063146180971</v>
      </c>
      <c r="L106" s="6">
        <v>4144.671630349003</v>
      </c>
      <c r="M106" s="6">
        <v>844.03174244938327</v>
      </c>
      <c r="N106" s="6">
        <v>946509.48376589397</v>
      </c>
      <c r="O106" s="6">
        <v>0</v>
      </c>
      <c r="P106" s="6">
        <v>946509.48376589397</v>
      </c>
      <c r="Q106" s="6">
        <v>844.03174244938327</v>
      </c>
      <c r="R106" s="6">
        <v>4791.3380570674799</v>
      </c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</row>
    <row r="107" spans="4:48" x14ac:dyDescent="0.3">
      <c r="D107" s="5"/>
      <c r="E107" s="5">
        <v>75</v>
      </c>
      <c r="F107" s="20">
        <v>48368</v>
      </c>
      <c r="G107" s="20">
        <v>48380</v>
      </c>
      <c r="H107" s="5">
        <v>6.25</v>
      </c>
      <c r="I107" s="6">
        <v>946509.48376589397</v>
      </c>
      <c r="J107" s="6">
        <v>4988.7033727983862</v>
      </c>
      <c r="K107" s="6">
        <v>3943.789515691225</v>
      </c>
      <c r="L107" s="6">
        <v>4140.9789914757866</v>
      </c>
      <c r="M107" s="6">
        <v>847.72438132259958</v>
      </c>
      <c r="N107" s="6">
        <v>945661.75938457134</v>
      </c>
      <c r="O107" s="6">
        <v>0</v>
      </c>
      <c r="P107" s="6">
        <v>945661.75938457134</v>
      </c>
      <c r="Q107" s="6">
        <v>847.72438132259958</v>
      </c>
      <c r="R107" s="6">
        <v>4791.513897013825</v>
      </c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</row>
    <row r="108" spans="4:48" x14ac:dyDescent="0.3">
      <c r="D108" s="5"/>
      <c r="E108" s="5">
        <v>76</v>
      </c>
      <c r="F108" s="20">
        <v>48398</v>
      </c>
      <c r="G108" s="20">
        <v>48410</v>
      </c>
      <c r="H108" s="5">
        <v>6.333333333333333</v>
      </c>
      <c r="I108" s="6">
        <v>945661.75938457157</v>
      </c>
      <c r="J108" s="6">
        <v>4988.7033727983862</v>
      </c>
      <c r="K108" s="6">
        <v>3940.2573307690482</v>
      </c>
      <c r="L108" s="6">
        <v>4137.2701973075009</v>
      </c>
      <c r="M108" s="6">
        <v>851.43317549088533</v>
      </c>
      <c r="N108" s="6">
        <v>944810.32620908064</v>
      </c>
      <c r="O108" s="6">
        <v>0</v>
      </c>
      <c r="P108" s="6">
        <v>944810.32620908064</v>
      </c>
      <c r="Q108" s="6">
        <v>851.43317549088533</v>
      </c>
      <c r="R108" s="6">
        <v>4791.6905062599335</v>
      </c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</row>
    <row r="109" spans="4:48" x14ac:dyDescent="0.3">
      <c r="D109" s="5"/>
      <c r="E109" s="5">
        <v>77</v>
      </c>
      <c r="F109" s="20">
        <v>48429</v>
      </c>
      <c r="G109" s="20">
        <v>48441</v>
      </c>
      <c r="H109" s="5">
        <v>6.416666666666667</v>
      </c>
      <c r="I109" s="6">
        <v>944810.32620908064</v>
      </c>
      <c r="J109" s="6">
        <v>4988.7033727983862</v>
      </c>
      <c r="K109" s="6">
        <v>3936.709692537836</v>
      </c>
      <c r="L109" s="6">
        <v>4133.5451771647286</v>
      </c>
      <c r="M109" s="6">
        <v>855.15819563365767</v>
      </c>
      <c r="N109" s="6">
        <v>943955.16801344696</v>
      </c>
      <c r="O109" s="6">
        <v>0</v>
      </c>
      <c r="P109" s="6">
        <v>943955.16801344696</v>
      </c>
      <c r="Q109" s="6">
        <v>855.15819563365767</v>
      </c>
      <c r="R109" s="6">
        <v>4791.8678881714932</v>
      </c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</row>
    <row r="110" spans="4:48" x14ac:dyDescent="0.3">
      <c r="D110" s="5"/>
      <c r="E110" s="5">
        <v>78</v>
      </c>
      <c r="F110" s="20">
        <v>48460</v>
      </c>
      <c r="G110" s="20">
        <v>48472</v>
      </c>
      <c r="H110" s="5">
        <v>6.5</v>
      </c>
      <c r="I110" s="6">
        <v>943955.16801344673</v>
      </c>
      <c r="J110" s="6">
        <v>4988.7033727983862</v>
      </c>
      <c r="K110" s="6">
        <v>3933.1465333893611</v>
      </c>
      <c r="L110" s="6">
        <v>4129.8038600588297</v>
      </c>
      <c r="M110" s="6">
        <v>858.89951273955649</v>
      </c>
      <c r="N110" s="6">
        <v>943096.26850070723</v>
      </c>
      <c r="O110" s="6">
        <v>0</v>
      </c>
      <c r="P110" s="6">
        <v>943096.26850070723</v>
      </c>
      <c r="Q110" s="6">
        <v>858.89951273955649</v>
      </c>
      <c r="R110" s="6">
        <v>4792.0460461289176</v>
      </c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</row>
    <row r="111" spans="4:48" x14ac:dyDescent="0.3">
      <c r="D111" s="5"/>
      <c r="E111" s="5">
        <v>79</v>
      </c>
      <c r="F111" s="20">
        <v>48490</v>
      </c>
      <c r="G111" s="20">
        <v>48502</v>
      </c>
      <c r="H111" s="5">
        <v>6.583333333333333</v>
      </c>
      <c r="I111" s="6">
        <v>943096.26850070711</v>
      </c>
      <c r="J111" s="6">
        <v>4988.7033727983862</v>
      </c>
      <c r="K111" s="6">
        <v>3929.5677854196128</v>
      </c>
      <c r="L111" s="6">
        <v>4126.0461746905939</v>
      </c>
      <c r="M111" s="6">
        <v>862.65719810779228</v>
      </c>
      <c r="N111" s="6">
        <v>942233.61130259931</v>
      </c>
      <c r="O111" s="6">
        <v>0</v>
      </c>
      <c r="P111" s="6">
        <v>942233.61130259931</v>
      </c>
      <c r="Q111" s="6">
        <v>862.65719810779228</v>
      </c>
      <c r="R111" s="6">
        <v>4792.2249835274051</v>
      </c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</row>
    <row r="112" spans="4:48" x14ac:dyDescent="0.3">
      <c r="D112" s="5"/>
      <c r="E112" s="5">
        <v>80</v>
      </c>
      <c r="F112" s="20">
        <v>48521</v>
      </c>
      <c r="G112" s="20">
        <v>48533</v>
      </c>
      <c r="H112" s="5">
        <v>6.666666666666667</v>
      </c>
      <c r="I112" s="6">
        <v>942233.61130259954</v>
      </c>
      <c r="J112" s="6">
        <v>4988.7033727983862</v>
      </c>
      <c r="K112" s="6">
        <v>3925.9733804274979</v>
      </c>
      <c r="L112" s="6">
        <v>4122.2720494488731</v>
      </c>
      <c r="M112" s="6">
        <v>866.43132334951315</v>
      </c>
      <c r="N112" s="6">
        <v>941367.17997925007</v>
      </c>
      <c r="O112" s="6">
        <v>0</v>
      </c>
      <c r="P112" s="6">
        <v>941367.17997925007</v>
      </c>
      <c r="Q112" s="6">
        <v>866.43132334951315</v>
      </c>
      <c r="R112" s="6">
        <v>4792.4047037770106</v>
      </c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</row>
    <row r="113" spans="4:48" x14ac:dyDescent="0.3">
      <c r="D113" s="5"/>
      <c r="E113" s="5">
        <v>81</v>
      </c>
      <c r="F113" s="20">
        <v>48551</v>
      </c>
      <c r="G113" s="20">
        <v>48563</v>
      </c>
      <c r="H113" s="5">
        <v>6.75</v>
      </c>
      <c r="I113" s="6">
        <v>941367.17997925007</v>
      </c>
      <c r="J113" s="6">
        <v>4988.7033727983862</v>
      </c>
      <c r="K113" s="6">
        <v>3922.3632499135419</v>
      </c>
      <c r="L113" s="6">
        <v>4118.481412409219</v>
      </c>
      <c r="M113" s="6">
        <v>870.22196038916718</v>
      </c>
      <c r="N113" s="6">
        <v>940496.9580188609</v>
      </c>
      <c r="O113" s="6">
        <v>0</v>
      </c>
      <c r="P113" s="6">
        <v>940496.9580188609</v>
      </c>
      <c r="Q113" s="6">
        <v>870.22196038916718</v>
      </c>
      <c r="R113" s="6">
        <v>4792.5852103027091</v>
      </c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</row>
    <row r="114" spans="4:48" x14ac:dyDescent="0.3">
      <c r="D114" s="5"/>
      <c r="E114" s="5">
        <v>82</v>
      </c>
      <c r="F114" s="20">
        <v>48582</v>
      </c>
      <c r="G114" s="20">
        <v>48594</v>
      </c>
      <c r="H114" s="5">
        <v>6.833333333333333</v>
      </c>
      <c r="I114" s="6">
        <v>940496.95801886066</v>
      </c>
      <c r="J114" s="6">
        <v>4988.7033727983862</v>
      </c>
      <c r="K114" s="6">
        <v>3918.7373250785859</v>
      </c>
      <c r="L114" s="6">
        <v>4114.6741913325159</v>
      </c>
      <c r="M114" s="6">
        <v>874.02918146587035</v>
      </c>
      <c r="N114" s="6">
        <v>939622.92883739481</v>
      </c>
      <c r="O114" s="6">
        <v>0</v>
      </c>
      <c r="P114" s="6">
        <v>939622.92883739481</v>
      </c>
      <c r="Q114" s="6">
        <v>874.02918146587035</v>
      </c>
      <c r="R114" s="6">
        <v>4792.7665065444562</v>
      </c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</row>
    <row r="115" spans="4:48" x14ac:dyDescent="0.3">
      <c r="D115" s="5"/>
      <c r="E115" s="5">
        <v>83</v>
      </c>
      <c r="F115" s="20">
        <v>48613</v>
      </c>
      <c r="G115" s="20">
        <v>48625</v>
      </c>
      <c r="H115" s="5">
        <v>6.916666666666667</v>
      </c>
      <c r="I115" s="6">
        <v>939622.92883739469</v>
      </c>
      <c r="J115" s="6">
        <v>4988.7033727983862</v>
      </c>
      <c r="K115" s="6">
        <v>3915.0955368224777</v>
      </c>
      <c r="L115" s="6">
        <v>4110.8503136636018</v>
      </c>
      <c r="M115" s="6">
        <v>877.85305913478442</v>
      </c>
      <c r="N115" s="6">
        <v>938745.0757782599</v>
      </c>
      <c r="O115" s="6">
        <v>0</v>
      </c>
      <c r="P115" s="6">
        <v>938745.0757782599</v>
      </c>
      <c r="Q115" s="6">
        <v>877.85305913478442</v>
      </c>
      <c r="R115" s="6">
        <v>4792.9485959572621</v>
      </c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</row>
    <row r="116" spans="4:48" x14ac:dyDescent="0.3">
      <c r="D116" s="5"/>
      <c r="E116" s="5">
        <v>84</v>
      </c>
      <c r="F116" s="20">
        <v>48641</v>
      </c>
      <c r="G116" s="20">
        <v>48653</v>
      </c>
      <c r="H116" s="5">
        <v>7</v>
      </c>
      <c r="I116" s="6">
        <v>938745.0757782599</v>
      </c>
      <c r="J116" s="6">
        <v>4988.7033727983862</v>
      </c>
      <c r="K116" s="6">
        <v>3911.4378157427495</v>
      </c>
      <c r="L116" s="6">
        <v>4107.0097065298878</v>
      </c>
      <c r="M116" s="6">
        <v>881.69366626849842</v>
      </c>
      <c r="N116" s="6">
        <v>937863.38211199141</v>
      </c>
      <c r="O116" s="6">
        <v>0</v>
      </c>
      <c r="P116" s="6">
        <v>937863.38211199141</v>
      </c>
      <c r="Q116" s="6">
        <v>881.69366626849842</v>
      </c>
      <c r="R116" s="6">
        <v>4793.1314820112475</v>
      </c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</row>
    <row r="117" spans="4:48" x14ac:dyDescent="0.3">
      <c r="D117" s="5"/>
      <c r="E117" s="5">
        <v>85</v>
      </c>
      <c r="F117" s="20">
        <v>48672</v>
      </c>
      <c r="G117" s="20">
        <v>48684</v>
      </c>
      <c r="H117" s="5">
        <v>7.083333333333333</v>
      </c>
      <c r="I117" s="6">
        <v>937863.38211199152</v>
      </c>
      <c r="J117" s="6">
        <v>4988.7033727983862</v>
      </c>
      <c r="K117" s="6">
        <v>3907.7640921332982</v>
      </c>
      <c r="L117" s="6">
        <v>4103.1522967399633</v>
      </c>
      <c r="M117" s="6">
        <v>885.55107605842295</v>
      </c>
      <c r="N117" s="6">
        <v>936977.83103593311</v>
      </c>
      <c r="O117" s="6">
        <v>0</v>
      </c>
      <c r="P117" s="6">
        <v>936977.83103593311</v>
      </c>
      <c r="Q117" s="6">
        <v>885.55107605842295</v>
      </c>
      <c r="R117" s="6">
        <v>4793.3151681917207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</row>
    <row r="118" spans="4:48" x14ac:dyDescent="0.3">
      <c r="D118" s="5"/>
      <c r="E118" s="5">
        <v>86</v>
      </c>
      <c r="F118" s="20">
        <v>48702</v>
      </c>
      <c r="G118" s="20">
        <v>48714</v>
      </c>
      <c r="H118" s="5">
        <v>7.166666666666667</v>
      </c>
      <c r="I118" s="6">
        <v>936977.83103593322</v>
      </c>
      <c r="J118" s="6">
        <v>4988.7033727983862</v>
      </c>
      <c r="K118" s="6">
        <v>3904.074295983055</v>
      </c>
      <c r="L118" s="6">
        <v>4099.2780107822082</v>
      </c>
      <c r="M118" s="6">
        <v>889.42536201617804</v>
      </c>
      <c r="N118" s="6">
        <v>936088.40567391703</v>
      </c>
      <c r="O118" s="6">
        <v>0</v>
      </c>
      <c r="P118" s="6">
        <v>936088.40567391703</v>
      </c>
      <c r="Q118" s="6">
        <v>889.42536201617804</v>
      </c>
      <c r="R118" s="6">
        <v>4793.499657999233</v>
      </c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</row>
    <row r="119" spans="4:48" x14ac:dyDescent="0.3">
      <c r="D119" s="5"/>
      <c r="E119" s="5">
        <v>87</v>
      </c>
      <c r="F119" s="20">
        <v>48733</v>
      </c>
      <c r="G119" s="20">
        <v>48745</v>
      </c>
      <c r="H119" s="5">
        <v>7.25</v>
      </c>
      <c r="I119" s="6">
        <v>936088.40567391692</v>
      </c>
      <c r="J119" s="6">
        <v>4988.7033727983862</v>
      </c>
      <c r="K119" s="6">
        <v>3900.3683569746536</v>
      </c>
      <c r="L119" s="6">
        <v>4095.386774823387</v>
      </c>
      <c r="M119" s="6">
        <v>893.31659797499924</v>
      </c>
      <c r="N119" s="6">
        <v>935195.08907594194</v>
      </c>
      <c r="O119" s="6">
        <v>0</v>
      </c>
      <c r="P119" s="6">
        <v>935195.08907594194</v>
      </c>
      <c r="Q119" s="6">
        <v>893.31659797499924</v>
      </c>
      <c r="R119" s="6">
        <v>4793.6849549496528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</row>
    <row r="120" spans="4:48" x14ac:dyDescent="0.3">
      <c r="D120" s="5"/>
      <c r="E120" s="5">
        <v>88</v>
      </c>
      <c r="F120" s="20">
        <v>48763</v>
      </c>
      <c r="G120" s="20">
        <v>48775</v>
      </c>
      <c r="H120" s="5">
        <v>7.333333333333333</v>
      </c>
      <c r="I120" s="6">
        <v>935195.08907594194</v>
      </c>
      <c r="J120" s="6">
        <v>4988.7033727983862</v>
      </c>
      <c r="K120" s="6">
        <v>3896.6462044830914</v>
      </c>
      <c r="L120" s="6">
        <v>4091.4785147072462</v>
      </c>
      <c r="M120" s="6">
        <v>897.22485809114005</v>
      </c>
      <c r="N120" s="6">
        <v>934297.86421785085</v>
      </c>
      <c r="O120" s="6">
        <v>0</v>
      </c>
      <c r="P120" s="6">
        <v>934297.86421785085</v>
      </c>
      <c r="Q120" s="6">
        <v>897.22485809114005</v>
      </c>
      <c r="R120" s="6">
        <v>4793.8710625742315</v>
      </c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</row>
    <row r="121" spans="4:48" x14ac:dyDescent="0.3">
      <c r="D121" s="5"/>
      <c r="E121" s="5">
        <v>89</v>
      </c>
      <c r="F121" s="20">
        <v>48794</v>
      </c>
      <c r="G121" s="20">
        <v>48806</v>
      </c>
      <c r="H121" s="5">
        <v>7.416666666666667</v>
      </c>
      <c r="I121" s="6">
        <v>934297.86421785073</v>
      </c>
      <c r="J121" s="6">
        <v>4988.7033727983862</v>
      </c>
      <c r="K121" s="6">
        <v>3892.9077675743779</v>
      </c>
      <c r="L121" s="6">
        <v>4087.5531559530973</v>
      </c>
      <c r="M121" s="6">
        <v>901.15021684528892</v>
      </c>
      <c r="N121" s="6">
        <v>933396.7140010054</v>
      </c>
      <c r="O121" s="6">
        <v>0</v>
      </c>
      <c r="P121" s="6">
        <v>933396.7140010054</v>
      </c>
      <c r="Q121" s="6">
        <v>901.15021684528892</v>
      </c>
      <c r="R121" s="6">
        <v>4794.0579844196673</v>
      </c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</row>
    <row r="122" spans="4:48" x14ac:dyDescent="0.3">
      <c r="D122" s="5"/>
      <c r="E122" s="5">
        <v>90</v>
      </c>
      <c r="F122" s="20">
        <v>48825</v>
      </c>
      <c r="G122" s="20">
        <v>48837</v>
      </c>
      <c r="H122" s="5">
        <v>7.5</v>
      </c>
      <c r="I122" s="6">
        <v>933396.71400100552</v>
      </c>
      <c r="J122" s="6">
        <v>4988.7033727983862</v>
      </c>
      <c r="K122" s="6">
        <v>3889.1529750041896</v>
      </c>
      <c r="L122" s="6">
        <v>4083.6106237543995</v>
      </c>
      <c r="M122" s="6">
        <v>905.09274904398671</v>
      </c>
      <c r="N122" s="6">
        <v>932491.62125196157</v>
      </c>
      <c r="O122" s="6">
        <v>0</v>
      </c>
      <c r="P122" s="6">
        <v>932491.62125196157</v>
      </c>
      <c r="Q122" s="6">
        <v>905.09274904398671</v>
      </c>
      <c r="R122" s="6">
        <v>4794.2457240481763</v>
      </c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</row>
    <row r="123" spans="4:48" x14ac:dyDescent="0.3">
      <c r="D123" s="5"/>
      <c r="E123" s="5">
        <v>91</v>
      </c>
      <c r="F123" s="20">
        <v>48855</v>
      </c>
      <c r="G123" s="20">
        <v>48867</v>
      </c>
      <c r="H123" s="5">
        <v>7.583333333333333</v>
      </c>
      <c r="I123" s="6">
        <v>932491.62125196145</v>
      </c>
      <c r="J123" s="6">
        <v>4988.7033727983862</v>
      </c>
      <c r="K123" s="6">
        <v>3885.381755216506</v>
      </c>
      <c r="L123" s="6">
        <v>4079.6508429773316</v>
      </c>
      <c r="M123" s="6">
        <v>909.05252982105458</v>
      </c>
      <c r="N123" s="6">
        <v>931582.56872214039</v>
      </c>
      <c r="O123" s="6">
        <v>0</v>
      </c>
      <c r="P123" s="6">
        <v>931582.56872214039</v>
      </c>
      <c r="Q123" s="6">
        <v>909.05252982105458</v>
      </c>
      <c r="R123" s="6">
        <v>4794.4342850375606</v>
      </c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</row>
    <row r="124" spans="4:48" x14ac:dyDescent="0.3">
      <c r="D124" s="5"/>
      <c r="E124" s="5">
        <v>92</v>
      </c>
      <c r="F124" s="20">
        <v>48886</v>
      </c>
      <c r="G124" s="20">
        <v>48898</v>
      </c>
      <c r="H124" s="5">
        <v>7.666666666666667</v>
      </c>
      <c r="I124" s="6">
        <v>931582.56872214028</v>
      </c>
      <c r="J124" s="6">
        <v>4988.7033727983862</v>
      </c>
      <c r="K124" s="6">
        <v>3881.594036342251</v>
      </c>
      <c r="L124" s="6">
        <v>4075.6737381593639</v>
      </c>
      <c r="M124" s="6">
        <v>913.02963463902233</v>
      </c>
      <c r="N124" s="6">
        <v>930669.53908750124</v>
      </c>
      <c r="O124" s="6">
        <v>0</v>
      </c>
      <c r="P124" s="6">
        <v>930669.53908750124</v>
      </c>
      <c r="Q124" s="6">
        <v>913.02963463902233</v>
      </c>
      <c r="R124" s="6">
        <v>4794.6236709812729</v>
      </c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</row>
    <row r="125" spans="4:48" x14ac:dyDescent="0.3">
      <c r="D125" s="5"/>
      <c r="E125" s="5">
        <v>93</v>
      </c>
      <c r="F125" s="20">
        <v>48916</v>
      </c>
      <c r="G125" s="20">
        <v>48928</v>
      </c>
      <c r="H125" s="5">
        <v>7.75</v>
      </c>
      <c r="I125" s="6">
        <v>930669.53908750124</v>
      </c>
      <c r="J125" s="6">
        <v>4988.7033727983862</v>
      </c>
      <c r="K125" s="6">
        <v>3877.7897461979219</v>
      </c>
      <c r="L125" s="6">
        <v>4071.6792335078185</v>
      </c>
      <c r="M125" s="6">
        <v>917.02413929056775</v>
      </c>
      <c r="N125" s="6">
        <v>929752.51494821068</v>
      </c>
      <c r="O125" s="6">
        <v>0</v>
      </c>
      <c r="P125" s="6">
        <v>929752.51494821068</v>
      </c>
      <c r="Q125" s="6">
        <v>917.02413929056775</v>
      </c>
      <c r="R125" s="6">
        <v>4794.8138854884892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</row>
    <row r="126" spans="4:48" x14ac:dyDescent="0.3">
      <c r="D126" s="5"/>
      <c r="E126" s="5">
        <v>94</v>
      </c>
      <c r="F126" s="20">
        <v>48947</v>
      </c>
      <c r="G126" s="20">
        <v>48959</v>
      </c>
      <c r="H126" s="5">
        <v>7.833333333333333</v>
      </c>
      <c r="I126" s="6">
        <v>929752.51494821056</v>
      </c>
      <c r="J126" s="6">
        <v>4988.7033727983862</v>
      </c>
      <c r="K126" s="6">
        <v>3873.9688122842108</v>
      </c>
      <c r="L126" s="6">
        <v>4067.6672528984218</v>
      </c>
      <c r="M126" s="6">
        <v>921.03611989996443</v>
      </c>
      <c r="N126" s="6">
        <v>928831.47882831062</v>
      </c>
      <c r="O126" s="6">
        <v>0</v>
      </c>
      <c r="P126" s="6">
        <v>928831.47882831062</v>
      </c>
      <c r="Q126" s="6">
        <v>921.03611989996443</v>
      </c>
      <c r="R126" s="6">
        <v>4795.0049321841752</v>
      </c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</row>
    <row r="127" spans="4:48" x14ac:dyDescent="0.3">
      <c r="D127" s="5"/>
      <c r="E127" s="5">
        <v>95</v>
      </c>
      <c r="F127" s="20">
        <v>48978</v>
      </c>
      <c r="G127" s="20">
        <v>48990</v>
      </c>
      <c r="H127" s="5">
        <v>7.916666666666667</v>
      </c>
      <c r="I127" s="6">
        <v>928831.47882831073</v>
      </c>
      <c r="J127" s="6">
        <v>4988.7033727983862</v>
      </c>
      <c r="K127" s="6">
        <v>3870.1311617846281</v>
      </c>
      <c r="L127" s="6">
        <v>4063.6377198738596</v>
      </c>
      <c r="M127" s="6">
        <v>925.0656529245266</v>
      </c>
      <c r="N127" s="6">
        <v>927906.41317538626</v>
      </c>
      <c r="O127" s="6">
        <v>0</v>
      </c>
      <c r="P127" s="6">
        <v>927906.41317538626</v>
      </c>
      <c r="Q127" s="6">
        <v>925.0656529245266</v>
      </c>
      <c r="R127" s="6">
        <v>4795.1968147091548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</row>
    <row r="128" spans="4:48" x14ac:dyDescent="0.3">
      <c r="D128" s="5"/>
      <c r="E128" s="5">
        <v>96</v>
      </c>
      <c r="F128" s="20">
        <v>49006</v>
      </c>
      <c r="G128" s="20">
        <v>49018</v>
      </c>
      <c r="H128" s="5">
        <v>8</v>
      </c>
      <c r="I128" s="6">
        <v>927906.41317538614</v>
      </c>
      <c r="J128" s="6">
        <v>4988.7033727983862</v>
      </c>
      <c r="K128" s="6">
        <v>3866.2767215641088</v>
      </c>
      <c r="L128" s="6">
        <v>4059.5905576423147</v>
      </c>
      <c r="M128" s="6">
        <v>929.11281515607152</v>
      </c>
      <c r="N128" s="6">
        <v>926977.30036023003</v>
      </c>
      <c r="O128" s="6">
        <v>0</v>
      </c>
      <c r="P128" s="6">
        <v>926977.30036023003</v>
      </c>
      <c r="Q128" s="6">
        <v>929.11281515607152</v>
      </c>
      <c r="R128" s="6">
        <v>4795.3895367201803</v>
      </c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</row>
    <row r="129" spans="4:48" x14ac:dyDescent="0.3">
      <c r="D129" s="5"/>
      <c r="E129" s="5">
        <v>97</v>
      </c>
      <c r="F129" s="20">
        <v>49037</v>
      </c>
      <c r="G129" s="20">
        <v>49049</v>
      </c>
      <c r="H129" s="5">
        <v>8.0833333333333339</v>
      </c>
      <c r="I129" s="6">
        <v>926977.30036023015</v>
      </c>
      <c r="J129" s="6">
        <v>4988.7033727983862</v>
      </c>
      <c r="K129" s="6">
        <v>3862.4054181676256</v>
      </c>
      <c r="L129" s="6">
        <v>4055.5256890760074</v>
      </c>
      <c r="M129" s="6">
        <v>933.17768372237879</v>
      </c>
      <c r="N129" s="6">
        <v>926044.1226765078</v>
      </c>
      <c r="O129" s="6">
        <v>0</v>
      </c>
      <c r="P129" s="6">
        <v>926044.1226765078</v>
      </c>
      <c r="Q129" s="6">
        <v>933.17768372237879</v>
      </c>
      <c r="R129" s="6">
        <v>4795.5831018900044</v>
      </c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</row>
    <row r="130" spans="4:48" x14ac:dyDescent="0.3">
      <c r="D130" s="5"/>
      <c r="E130" s="5">
        <v>98</v>
      </c>
      <c r="F130" s="20">
        <v>49067</v>
      </c>
      <c r="G130" s="20">
        <v>49079</v>
      </c>
      <c r="H130" s="5">
        <v>8.1666666666666661</v>
      </c>
      <c r="I130" s="6">
        <v>926044.12267650757</v>
      </c>
      <c r="J130" s="6">
        <v>4988.7033727983862</v>
      </c>
      <c r="K130" s="6">
        <v>3858.5171778187814</v>
      </c>
      <c r="L130" s="6">
        <v>4051.4430367097211</v>
      </c>
      <c r="M130" s="6">
        <v>937.2603360886651</v>
      </c>
      <c r="N130" s="6">
        <v>925106.86234041885</v>
      </c>
      <c r="O130" s="6">
        <v>0</v>
      </c>
      <c r="P130" s="6">
        <v>925106.86234041885</v>
      </c>
      <c r="Q130" s="6">
        <v>937.2603360886651</v>
      </c>
      <c r="R130" s="6">
        <v>4795.7775139074465</v>
      </c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</row>
    <row r="131" spans="4:48" x14ac:dyDescent="0.3">
      <c r="D131" s="5"/>
      <c r="E131" s="5">
        <v>99</v>
      </c>
      <c r="F131" s="20">
        <v>49098</v>
      </c>
      <c r="G131" s="20">
        <v>49110</v>
      </c>
      <c r="H131" s="5">
        <v>8.25</v>
      </c>
      <c r="I131" s="6">
        <v>925106.86234041885</v>
      </c>
      <c r="J131" s="6">
        <v>4988.7033727983862</v>
      </c>
      <c r="K131" s="6">
        <v>3854.6119264184117</v>
      </c>
      <c r="L131" s="6">
        <v>4047.3425227393327</v>
      </c>
      <c r="M131" s="6">
        <v>941.36085005905352</v>
      </c>
      <c r="N131" s="6">
        <v>924165.50149035978</v>
      </c>
      <c r="O131" s="6">
        <v>0</v>
      </c>
      <c r="P131" s="6">
        <v>924165.50149035978</v>
      </c>
      <c r="Q131" s="6">
        <v>941.36085005905352</v>
      </c>
      <c r="R131" s="6">
        <v>4795.9727764774652</v>
      </c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</row>
    <row r="132" spans="4:48" x14ac:dyDescent="0.3">
      <c r="D132" s="5"/>
      <c r="E132" s="5">
        <v>100</v>
      </c>
      <c r="F132" s="20">
        <v>49128</v>
      </c>
      <c r="G132" s="20">
        <v>49140</v>
      </c>
      <c r="H132" s="5">
        <v>8.3333333333333339</v>
      </c>
      <c r="I132" s="6">
        <v>924165.50149035978</v>
      </c>
      <c r="J132" s="6">
        <v>4988.7033727983862</v>
      </c>
      <c r="K132" s="6">
        <v>3850.6895895431658</v>
      </c>
      <c r="L132" s="6">
        <v>4043.2240690203244</v>
      </c>
      <c r="M132" s="6">
        <v>945.47930377806188</v>
      </c>
      <c r="N132" s="6">
        <v>923220.02218658174</v>
      </c>
      <c r="O132" s="6">
        <v>0</v>
      </c>
      <c r="P132" s="6">
        <v>923220.02218658174</v>
      </c>
      <c r="Q132" s="6">
        <v>945.47930377806188</v>
      </c>
      <c r="R132" s="6">
        <v>4796.1688933212281</v>
      </c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</row>
    <row r="133" spans="4:48" x14ac:dyDescent="0.3">
      <c r="D133" s="5"/>
      <c r="E133" s="5">
        <v>101</v>
      </c>
      <c r="F133" s="20">
        <v>49159</v>
      </c>
      <c r="G133" s="20">
        <v>49171</v>
      </c>
      <c r="H133" s="5">
        <v>8.4166666666666661</v>
      </c>
      <c r="I133" s="6">
        <v>923220.02218658186</v>
      </c>
      <c r="J133" s="6">
        <v>4988.7033727983862</v>
      </c>
      <c r="K133" s="6">
        <v>3846.750092444091</v>
      </c>
      <c r="L133" s="6">
        <v>4039.087597066296</v>
      </c>
      <c r="M133" s="6">
        <v>949.61577573209024</v>
      </c>
      <c r="N133" s="6">
        <v>922270.40641084977</v>
      </c>
      <c r="O133" s="6">
        <v>0</v>
      </c>
      <c r="P133" s="6">
        <v>922270.40641084977</v>
      </c>
      <c r="Q133" s="6">
        <v>949.61577573209024</v>
      </c>
      <c r="R133" s="6">
        <v>4796.3658681761808</v>
      </c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</row>
    <row r="134" spans="4:48" x14ac:dyDescent="0.3">
      <c r="D134" s="5"/>
      <c r="E134" s="5">
        <v>102</v>
      </c>
      <c r="F134" s="20">
        <v>49190</v>
      </c>
      <c r="G134" s="20">
        <v>49202</v>
      </c>
      <c r="H134" s="5">
        <v>8.5</v>
      </c>
      <c r="I134" s="6">
        <v>922270.40641084954</v>
      </c>
      <c r="J134" s="6">
        <v>4988.7033727983862</v>
      </c>
      <c r="K134" s="6">
        <v>3842.7933600452066</v>
      </c>
      <c r="L134" s="6">
        <v>4034.9330280474669</v>
      </c>
      <c r="M134" s="6">
        <v>953.77034475091932</v>
      </c>
      <c r="N134" s="6">
        <v>921316.63606609858</v>
      </c>
      <c r="O134" s="6">
        <v>0</v>
      </c>
      <c r="P134" s="6">
        <v>921316.63606609858</v>
      </c>
      <c r="Q134" s="6">
        <v>953.77034475091932</v>
      </c>
      <c r="R134" s="6">
        <v>4796.5637047961263</v>
      </c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</row>
    <row r="135" spans="4:48" x14ac:dyDescent="0.3">
      <c r="D135" s="5"/>
      <c r="E135" s="5">
        <v>103</v>
      </c>
      <c r="F135" s="20">
        <v>49220</v>
      </c>
      <c r="G135" s="20">
        <v>49232</v>
      </c>
      <c r="H135" s="5">
        <v>8.5833333333333339</v>
      </c>
      <c r="I135" s="6">
        <v>921316.63606609881</v>
      </c>
      <c r="J135" s="6">
        <v>4988.7033727983862</v>
      </c>
      <c r="K135" s="6">
        <v>3838.8193169420783</v>
      </c>
      <c r="L135" s="6">
        <v>4030.7602827891828</v>
      </c>
      <c r="M135" s="6">
        <v>957.94309000920339</v>
      </c>
      <c r="N135" s="6">
        <v>920358.69297608966</v>
      </c>
      <c r="O135" s="6">
        <v>0</v>
      </c>
      <c r="P135" s="6">
        <v>920358.69297608966</v>
      </c>
      <c r="Q135" s="6">
        <v>957.94309000920339</v>
      </c>
      <c r="R135" s="6">
        <v>4796.7624069512822</v>
      </c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</row>
    <row r="136" spans="4:48" x14ac:dyDescent="0.3">
      <c r="D136" s="5"/>
      <c r="E136" s="5">
        <v>104</v>
      </c>
      <c r="F136" s="20">
        <v>49251</v>
      </c>
      <c r="G136" s="20">
        <v>49263</v>
      </c>
      <c r="H136" s="5">
        <v>8.6666666666666661</v>
      </c>
      <c r="I136" s="6">
        <v>920358.69297608954</v>
      </c>
      <c r="J136" s="6">
        <v>4988.7033727983862</v>
      </c>
      <c r="K136" s="6">
        <v>3834.8278874003731</v>
      </c>
      <c r="L136" s="6">
        <v>4026.5692817703921</v>
      </c>
      <c r="M136" s="6">
        <v>962.13409102799415</v>
      </c>
      <c r="N136" s="6">
        <v>919396.55888506153</v>
      </c>
      <c r="O136" s="6">
        <v>0</v>
      </c>
      <c r="P136" s="6">
        <v>919396.55888506153</v>
      </c>
      <c r="Q136" s="6">
        <v>962.13409102799415</v>
      </c>
      <c r="R136" s="6">
        <v>4796.9619784283677</v>
      </c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</row>
    <row r="137" spans="4:48" x14ac:dyDescent="0.3">
      <c r="D137" s="5"/>
      <c r="E137" s="5">
        <v>105</v>
      </c>
      <c r="F137" s="20">
        <v>49281</v>
      </c>
      <c r="G137" s="20">
        <v>49293</v>
      </c>
      <c r="H137" s="5">
        <v>8.75</v>
      </c>
      <c r="I137" s="6">
        <v>919396.55888506153</v>
      </c>
      <c r="J137" s="6">
        <v>4988.7033727983862</v>
      </c>
      <c r="K137" s="6">
        <v>3830.8189953544229</v>
      </c>
      <c r="L137" s="6">
        <v>4022.3599451221444</v>
      </c>
      <c r="M137" s="6">
        <v>966.34342767624184</v>
      </c>
      <c r="N137" s="6">
        <v>918430.21545738529</v>
      </c>
      <c r="O137" s="6">
        <v>0</v>
      </c>
      <c r="P137" s="6">
        <v>918430.21545738529</v>
      </c>
      <c r="Q137" s="6">
        <v>966.34342767624184</v>
      </c>
      <c r="R137" s="6">
        <v>4797.1624230306643</v>
      </c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</row>
    <row r="138" spans="4:48" x14ac:dyDescent="0.3">
      <c r="D138" s="5"/>
      <c r="E138" s="5">
        <v>106</v>
      </c>
      <c r="F138" s="20">
        <v>49312</v>
      </c>
      <c r="G138" s="20">
        <v>49324</v>
      </c>
      <c r="H138" s="5">
        <v>8.8333333333333339</v>
      </c>
      <c r="I138" s="6">
        <v>918430.21545738517</v>
      </c>
      <c r="J138" s="6">
        <v>4988.7033727983862</v>
      </c>
      <c r="K138" s="6">
        <v>3826.7925644057714</v>
      </c>
      <c r="L138" s="6">
        <v>4018.1321926260607</v>
      </c>
      <c r="M138" s="6">
        <v>970.57118017232551</v>
      </c>
      <c r="N138" s="6">
        <v>917459.64427721279</v>
      </c>
      <c r="O138" s="6">
        <v>0</v>
      </c>
      <c r="P138" s="6">
        <v>917459.64427721279</v>
      </c>
      <c r="Q138" s="6">
        <v>970.57118017232551</v>
      </c>
      <c r="R138" s="6">
        <v>4797.3637445780969</v>
      </c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</row>
    <row r="139" spans="4:48" x14ac:dyDescent="0.3">
      <c r="D139" s="5"/>
      <c r="E139" s="5">
        <v>107</v>
      </c>
      <c r="F139" s="20">
        <v>49343</v>
      </c>
      <c r="G139" s="20">
        <v>49355</v>
      </c>
      <c r="H139" s="5">
        <v>8.9166666666666661</v>
      </c>
      <c r="I139" s="6">
        <v>917459.64427721279</v>
      </c>
      <c r="J139" s="6">
        <v>4988.7033727983862</v>
      </c>
      <c r="K139" s="6">
        <v>3822.7485178217198</v>
      </c>
      <c r="L139" s="6">
        <v>4013.8859437128062</v>
      </c>
      <c r="M139" s="6">
        <v>974.81742908557999</v>
      </c>
      <c r="N139" s="6">
        <v>916484.82684812718</v>
      </c>
      <c r="O139" s="6">
        <v>0</v>
      </c>
      <c r="P139" s="6">
        <v>916484.82684812718</v>
      </c>
      <c r="Q139" s="6">
        <v>974.81742908557999</v>
      </c>
      <c r="R139" s="6">
        <v>4797.5659469072998</v>
      </c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</row>
    <row r="140" spans="4:48" x14ac:dyDescent="0.3">
      <c r="D140" s="5"/>
      <c r="E140" s="5">
        <v>108</v>
      </c>
      <c r="F140" s="20">
        <v>49371</v>
      </c>
      <c r="G140" s="20">
        <v>49383</v>
      </c>
      <c r="H140" s="5">
        <v>9</v>
      </c>
      <c r="I140" s="6">
        <v>916484.82684812718</v>
      </c>
      <c r="J140" s="6">
        <v>4988.7033727983862</v>
      </c>
      <c r="K140" s="6">
        <v>3818.6867785338632</v>
      </c>
      <c r="L140" s="6">
        <v>4009.6211174605569</v>
      </c>
      <c r="M140" s="6">
        <v>979.08225533782934</v>
      </c>
      <c r="N140" s="6">
        <v>915505.74459278933</v>
      </c>
      <c r="O140" s="6">
        <v>0</v>
      </c>
      <c r="P140" s="6">
        <v>915505.74459278933</v>
      </c>
      <c r="Q140" s="6">
        <v>979.08225533782934</v>
      </c>
      <c r="R140" s="6">
        <v>4797.769033871693</v>
      </c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</row>
    <row r="141" spans="4:48" x14ac:dyDescent="0.3">
      <c r="D141" s="5"/>
      <c r="E141" s="5">
        <v>109</v>
      </c>
      <c r="F141" s="20">
        <v>49402</v>
      </c>
      <c r="G141" s="20">
        <v>49414</v>
      </c>
      <c r="H141" s="5">
        <v>9.0833333333333339</v>
      </c>
      <c r="I141" s="6">
        <v>915505.74459278944</v>
      </c>
      <c r="J141" s="6">
        <v>4988.7033727983862</v>
      </c>
      <c r="K141" s="6">
        <v>3814.6072691366226</v>
      </c>
      <c r="L141" s="6">
        <v>4005.3376325934541</v>
      </c>
      <c r="M141" s="6">
        <v>983.36574020493208</v>
      </c>
      <c r="N141" s="6">
        <v>914522.37885258452</v>
      </c>
      <c r="O141" s="6">
        <v>0</v>
      </c>
      <c r="P141" s="6">
        <v>914522.37885258452</v>
      </c>
      <c r="Q141" s="6">
        <v>983.36574020493208</v>
      </c>
      <c r="R141" s="6">
        <v>4797.9730093415546</v>
      </c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</row>
    <row r="142" spans="4:48" x14ac:dyDescent="0.3">
      <c r="D142" s="5"/>
      <c r="E142" s="5">
        <v>110</v>
      </c>
      <c r="F142" s="20">
        <v>49432</v>
      </c>
      <c r="G142" s="20">
        <v>49444</v>
      </c>
      <c r="H142" s="5">
        <v>9.1666666666666661</v>
      </c>
      <c r="I142" s="6">
        <v>914522.3788525844</v>
      </c>
      <c r="J142" s="6">
        <v>4988.7033727983862</v>
      </c>
      <c r="K142" s="6">
        <v>3810.5099118857684</v>
      </c>
      <c r="L142" s="6">
        <v>4001.0354074800571</v>
      </c>
      <c r="M142" s="6">
        <v>987.66796531832915</v>
      </c>
      <c r="N142" s="6">
        <v>913534.71088726609</v>
      </c>
      <c r="O142" s="6">
        <v>0</v>
      </c>
      <c r="P142" s="6">
        <v>913534.71088726609</v>
      </c>
      <c r="Q142" s="6">
        <v>987.66796531832915</v>
      </c>
      <c r="R142" s="6">
        <v>4798.177877204098</v>
      </c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</row>
    <row r="143" spans="4:48" x14ac:dyDescent="0.3">
      <c r="D143" s="5"/>
      <c r="E143" s="5">
        <v>111</v>
      </c>
      <c r="F143" s="20">
        <v>49463</v>
      </c>
      <c r="G143" s="20">
        <v>49475</v>
      </c>
      <c r="H143" s="5">
        <v>9.25</v>
      </c>
      <c r="I143" s="6">
        <v>913534.71088726621</v>
      </c>
      <c r="J143" s="6">
        <v>4988.7033727983862</v>
      </c>
      <c r="K143" s="6">
        <v>3806.3946286969426</v>
      </c>
      <c r="L143" s="6">
        <v>3996.7143601317898</v>
      </c>
      <c r="M143" s="6">
        <v>991.98901266659641</v>
      </c>
      <c r="N143" s="6">
        <v>912542.72187459958</v>
      </c>
      <c r="O143" s="6">
        <v>0</v>
      </c>
      <c r="P143" s="6">
        <v>912542.72187459958</v>
      </c>
      <c r="Q143" s="6">
        <v>991.98901266659641</v>
      </c>
      <c r="R143" s="6">
        <v>4798.383641363539</v>
      </c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</row>
    <row r="144" spans="4:48" x14ac:dyDescent="0.3">
      <c r="D144" s="5"/>
      <c r="E144" s="5">
        <v>112</v>
      </c>
      <c r="F144" s="20">
        <v>49493</v>
      </c>
      <c r="G144" s="20">
        <v>49505</v>
      </c>
      <c r="H144" s="5">
        <v>9.3333333333333339</v>
      </c>
      <c r="I144" s="6">
        <v>912542.72187459935</v>
      </c>
      <c r="J144" s="6">
        <v>4988.7033727983862</v>
      </c>
      <c r="K144" s="6">
        <v>3802.2613411441639</v>
      </c>
      <c r="L144" s="6">
        <v>3992.3744082013727</v>
      </c>
      <c r="M144" s="6">
        <v>996.32896459701351</v>
      </c>
      <c r="N144" s="6">
        <v>911546.39291000238</v>
      </c>
      <c r="O144" s="6">
        <v>0</v>
      </c>
      <c r="P144" s="6">
        <v>911546.39291000238</v>
      </c>
      <c r="Q144" s="6">
        <v>996.32896459701351</v>
      </c>
      <c r="R144" s="6">
        <v>4798.5903057411779</v>
      </c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</row>
    <row r="145" spans="4:48" x14ac:dyDescent="0.3">
      <c r="D145" s="5"/>
      <c r="E145" s="5">
        <v>113</v>
      </c>
      <c r="F145" s="20">
        <v>49524</v>
      </c>
      <c r="G145" s="20">
        <v>49536</v>
      </c>
      <c r="H145" s="5">
        <v>9.4166666666666661</v>
      </c>
      <c r="I145" s="6">
        <v>911546.39291000238</v>
      </c>
      <c r="J145" s="6">
        <v>4988.7033727983862</v>
      </c>
      <c r="K145" s="6">
        <v>3798.109970458343</v>
      </c>
      <c r="L145" s="6">
        <v>3988.0154689812607</v>
      </c>
      <c r="M145" s="6">
        <v>1000.6879038171255</v>
      </c>
      <c r="N145" s="6">
        <v>910545.70500618522</v>
      </c>
      <c r="O145" s="6">
        <v>0</v>
      </c>
      <c r="P145" s="6">
        <v>910545.70500618522</v>
      </c>
      <c r="Q145" s="6">
        <v>1000.6879038171255</v>
      </c>
      <c r="R145" s="6">
        <v>4798.7978742754685</v>
      </c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</row>
    <row r="146" spans="4:48" x14ac:dyDescent="0.3">
      <c r="D146" s="5"/>
      <c r="E146" s="5">
        <v>114</v>
      </c>
      <c r="F146" s="20">
        <v>49555</v>
      </c>
      <c r="G146" s="20">
        <v>49567</v>
      </c>
      <c r="H146" s="5">
        <v>9.5</v>
      </c>
      <c r="I146" s="6">
        <v>910545.70500618522</v>
      </c>
      <c r="J146" s="6">
        <v>4988.7033727983862</v>
      </c>
      <c r="K146" s="6">
        <v>3793.9404375257718</v>
      </c>
      <c r="L146" s="6">
        <v>3983.6374594020608</v>
      </c>
      <c r="M146" s="6">
        <v>1005.0659133963254</v>
      </c>
      <c r="N146" s="6">
        <v>909540.63909278892</v>
      </c>
      <c r="O146" s="6">
        <v>0</v>
      </c>
      <c r="P146" s="6">
        <v>909540.63909278892</v>
      </c>
      <c r="Q146" s="6">
        <v>1005.0659133963254</v>
      </c>
      <c r="R146" s="6">
        <v>4799.0063509220972</v>
      </c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</row>
    <row r="147" spans="4:48" x14ac:dyDescent="0.3">
      <c r="D147" s="5"/>
      <c r="E147" s="5">
        <v>115</v>
      </c>
      <c r="F147" s="20">
        <v>49585</v>
      </c>
      <c r="G147" s="20">
        <v>49597</v>
      </c>
      <c r="H147" s="5">
        <v>9.5833333333333339</v>
      </c>
      <c r="I147" s="6">
        <v>909540.63909278903</v>
      </c>
      <c r="J147" s="6">
        <v>4988.7033727983862</v>
      </c>
      <c r="K147" s="6">
        <v>3789.7526628866208</v>
      </c>
      <c r="L147" s="6">
        <v>3979.2402960309523</v>
      </c>
      <c r="M147" s="6">
        <v>1009.4630767674339</v>
      </c>
      <c r="N147" s="6">
        <v>908531.17601602164</v>
      </c>
      <c r="O147" s="6">
        <v>0</v>
      </c>
      <c r="P147" s="6">
        <v>908531.17601602164</v>
      </c>
      <c r="Q147" s="6">
        <v>1009.4630767674339</v>
      </c>
      <c r="R147" s="6">
        <v>4799.2157396540551</v>
      </c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</row>
    <row r="148" spans="4:48" x14ac:dyDescent="0.3">
      <c r="D148" s="5"/>
      <c r="E148" s="5">
        <v>116</v>
      </c>
      <c r="F148" s="20">
        <v>49616</v>
      </c>
      <c r="G148" s="20">
        <v>49628</v>
      </c>
      <c r="H148" s="5">
        <v>9.6666666666666661</v>
      </c>
      <c r="I148" s="6">
        <v>908531.1760160214</v>
      </c>
      <c r="J148" s="6">
        <v>4988.7033727983862</v>
      </c>
      <c r="K148" s="6">
        <v>3785.5465667334224</v>
      </c>
      <c r="L148" s="6">
        <v>3974.8238950700938</v>
      </c>
      <c r="M148" s="6">
        <v>1013.8794777282924</v>
      </c>
      <c r="N148" s="6">
        <v>907517.29653829313</v>
      </c>
      <c r="O148" s="6">
        <v>0</v>
      </c>
      <c r="P148" s="6">
        <v>907517.29653829313</v>
      </c>
      <c r="Q148" s="6">
        <v>1013.8794777282924</v>
      </c>
      <c r="R148" s="6">
        <v>4799.4260444617148</v>
      </c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</row>
    <row r="149" spans="4:48" x14ac:dyDescent="0.3">
      <c r="D149" s="5"/>
      <c r="E149" s="5">
        <v>117</v>
      </c>
      <c r="F149" s="20">
        <v>49646</v>
      </c>
      <c r="G149" s="20">
        <v>49658</v>
      </c>
      <c r="H149" s="5">
        <v>9.75</v>
      </c>
      <c r="I149" s="6">
        <v>907517.29653829325</v>
      </c>
      <c r="J149" s="6">
        <v>4988.7033727983862</v>
      </c>
      <c r="K149" s="6">
        <v>3781.3220689095551</v>
      </c>
      <c r="L149" s="6">
        <v>3970.3881723550335</v>
      </c>
      <c r="M149" s="6">
        <v>1018.3152004433528</v>
      </c>
      <c r="N149" s="6">
        <v>906498.98133784987</v>
      </c>
      <c r="O149" s="6">
        <v>0</v>
      </c>
      <c r="P149" s="6">
        <v>906498.98133784987</v>
      </c>
      <c r="Q149" s="6">
        <v>1018.3152004433528</v>
      </c>
      <c r="R149" s="6">
        <v>4799.6372693529083</v>
      </c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</row>
    <row r="150" spans="4:48" x14ac:dyDescent="0.3">
      <c r="D150" s="5"/>
      <c r="E150" s="5">
        <v>118</v>
      </c>
      <c r="F150" s="20">
        <v>49677</v>
      </c>
      <c r="G150" s="20">
        <v>49689</v>
      </c>
      <c r="H150" s="5">
        <v>9.8333333333333339</v>
      </c>
      <c r="I150" s="6">
        <v>906498.98133784987</v>
      </c>
      <c r="J150" s="6">
        <v>4988.7033727983862</v>
      </c>
      <c r="K150" s="6">
        <v>3777.0790889077075</v>
      </c>
      <c r="L150" s="6">
        <v>3965.9330433530936</v>
      </c>
      <c r="M150" s="6">
        <v>1022.7703294452926</v>
      </c>
      <c r="N150" s="6">
        <v>905476.21100840461</v>
      </c>
      <c r="O150" s="6">
        <v>0</v>
      </c>
      <c r="P150" s="6">
        <v>905476.21100840461</v>
      </c>
      <c r="Q150" s="6">
        <v>1022.7703294452926</v>
      </c>
      <c r="R150" s="6">
        <v>4799.8494183530001</v>
      </c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</row>
    <row r="151" spans="4:48" x14ac:dyDescent="0.3">
      <c r="D151" s="5"/>
      <c r="E151" s="5">
        <v>119</v>
      </c>
      <c r="F151" s="20">
        <v>49708</v>
      </c>
      <c r="G151" s="20">
        <v>49720</v>
      </c>
      <c r="H151" s="5">
        <v>9.9166666666666661</v>
      </c>
      <c r="I151" s="6">
        <v>905476.2110084045</v>
      </c>
      <c r="J151" s="6">
        <v>4988.7033727983862</v>
      </c>
      <c r="K151" s="6">
        <v>3772.8175458683522</v>
      </c>
      <c r="L151" s="6">
        <v>3961.45842316177</v>
      </c>
      <c r="M151" s="6">
        <v>1027.2449496366162</v>
      </c>
      <c r="N151" s="6">
        <v>904448.96605876787</v>
      </c>
      <c r="O151" s="6">
        <v>0</v>
      </c>
      <c r="P151" s="6">
        <v>904448.96605876787</v>
      </c>
      <c r="Q151" s="6">
        <v>1027.2449496366162</v>
      </c>
      <c r="R151" s="6">
        <v>4800.062495504968</v>
      </c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</row>
    <row r="152" spans="4:48" x14ac:dyDescent="0.3">
      <c r="D152" s="5"/>
      <c r="E152" s="5">
        <v>120</v>
      </c>
      <c r="F152" s="20">
        <v>49737</v>
      </c>
      <c r="G152" s="20">
        <v>49749</v>
      </c>
      <c r="H152" s="5">
        <v>10</v>
      </c>
      <c r="I152" s="6">
        <v>904448.96605876787</v>
      </c>
      <c r="J152" s="6">
        <v>4988.7033727983862</v>
      </c>
      <c r="K152" s="6">
        <v>3768.5373585781995</v>
      </c>
      <c r="L152" s="6">
        <v>3956.9642265071097</v>
      </c>
      <c r="M152" s="6">
        <v>1031.7391462912765</v>
      </c>
      <c r="N152" s="6">
        <v>903417.22691247659</v>
      </c>
      <c r="O152" s="6">
        <v>903417.22691247659</v>
      </c>
      <c r="P152" s="6">
        <v>0</v>
      </c>
      <c r="Q152" s="6">
        <v>904448.96605876787</v>
      </c>
      <c r="R152" s="6">
        <v>908217.50341734604</v>
      </c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</row>
    <row r="153" spans="4:48" x14ac:dyDescent="0.3">
      <c r="D153" s="5"/>
      <c r="E153" s="5"/>
      <c r="F153" s="20"/>
      <c r="G153" s="20"/>
      <c r="H153" s="5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</row>
    <row r="154" spans="4:48" x14ac:dyDescent="0.3">
      <c r="D154" s="5"/>
      <c r="E154" s="5"/>
      <c r="F154" s="20"/>
      <c r="G154" s="20"/>
      <c r="H154" s="5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</row>
    <row r="155" spans="4:48" x14ac:dyDescent="0.3">
      <c r="D155" s="5"/>
      <c r="E155" s="5"/>
      <c r="F155" s="20"/>
      <c r="G155" s="20"/>
      <c r="H155" s="5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</row>
    <row r="156" spans="4:48" x14ac:dyDescent="0.3">
      <c r="D156" s="5"/>
      <c r="E156" s="5"/>
      <c r="F156" s="20"/>
      <c r="G156" s="20"/>
      <c r="H156" s="5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</row>
    <row r="157" spans="4:48" x14ac:dyDescent="0.3">
      <c r="D157" s="5"/>
      <c r="E157" s="5"/>
      <c r="F157" s="20"/>
      <c r="G157" s="20"/>
      <c r="H157" s="5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</row>
    <row r="158" spans="4:48" x14ac:dyDescent="0.3">
      <c r="D158" s="5"/>
      <c r="E158" s="5"/>
      <c r="F158" s="20"/>
      <c r="G158" s="20"/>
      <c r="H158" s="5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</row>
    <row r="159" spans="4:48" x14ac:dyDescent="0.3">
      <c r="D159" s="5"/>
      <c r="E159" s="5"/>
      <c r="F159" s="20"/>
      <c r="G159" s="20"/>
      <c r="H159" s="5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</row>
    <row r="160" spans="4:48" x14ac:dyDescent="0.3">
      <c r="D160" s="5"/>
      <c r="E160" s="5"/>
      <c r="F160" s="20"/>
      <c r="G160" s="20"/>
      <c r="H160" s="5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</row>
    <row r="161" spans="4:48" x14ac:dyDescent="0.3">
      <c r="D161" s="5"/>
      <c r="E161" s="5"/>
      <c r="F161" s="20"/>
      <c r="G161" s="20"/>
      <c r="H161" s="5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</row>
    <row r="162" spans="4:48" x14ac:dyDescent="0.3">
      <c r="D162" s="5"/>
      <c r="E162" s="5"/>
      <c r="F162" s="20"/>
      <c r="G162" s="20"/>
      <c r="H162" s="5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</row>
    <row r="163" spans="4:48" x14ac:dyDescent="0.3">
      <c r="D163" s="5"/>
      <c r="E163" s="5"/>
      <c r="F163" s="20"/>
      <c r="G163" s="20"/>
      <c r="H163" s="5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</row>
    <row r="164" spans="4:48" x14ac:dyDescent="0.3">
      <c r="D164" s="5"/>
      <c r="E164" s="5"/>
      <c r="F164" s="20"/>
      <c r="G164" s="20"/>
      <c r="H164" s="5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</row>
    <row r="165" spans="4:48" x14ac:dyDescent="0.3">
      <c r="D165" s="5"/>
      <c r="E165" s="5"/>
      <c r="F165" s="20"/>
      <c r="G165" s="20"/>
      <c r="H165" s="5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</row>
    <row r="166" spans="4:48" x14ac:dyDescent="0.3">
      <c r="D166" s="5"/>
      <c r="E166" s="5"/>
      <c r="F166" s="20"/>
      <c r="G166" s="20"/>
      <c r="H166" s="5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</row>
    <row r="167" spans="4:48" x14ac:dyDescent="0.3">
      <c r="D167" s="5"/>
      <c r="E167" s="5"/>
      <c r="F167" s="20"/>
      <c r="G167" s="20"/>
      <c r="H167" s="5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</row>
    <row r="168" spans="4:48" x14ac:dyDescent="0.3">
      <c r="D168" s="5"/>
      <c r="E168" s="5"/>
      <c r="F168" s="20"/>
      <c r="G168" s="20"/>
      <c r="H168" s="5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</row>
    <row r="169" spans="4:48" x14ac:dyDescent="0.3">
      <c r="D169" s="5"/>
      <c r="E169" s="5"/>
      <c r="F169" s="20"/>
      <c r="G169" s="20"/>
      <c r="H169" s="5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</row>
    <row r="170" spans="4:48" x14ac:dyDescent="0.3">
      <c r="D170" s="5"/>
      <c r="E170" s="5"/>
      <c r="F170" s="20"/>
      <c r="G170" s="20"/>
      <c r="H170" s="5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</row>
    <row r="171" spans="4:48" x14ac:dyDescent="0.3">
      <c r="D171" s="5"/>
      <c r="E171" s="5"/>
      <c r="F171" s="20"/>
      <c r="G171" s="20"/>
      <c r="H171" s="5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</row>
    <row r="172" spans="4:48" x14ac:dyDescent="0.3">
      <c r="D172" s="5"/>
      <c r="E172" s="5"/>
      <c r="F172" s="20"/>
      <c r="G172" s="20"/>
      <c r="H172" s="5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</row>
    <row r="173" spans="4:48" x14ac:dyDescent="0.3">
      <c r="D173" s="5"/>
      <c r="E173" s="5"/>
      <c r="F173" s="20"/>
      <c r="G173" s="20"/>
      <c r="H173" s="5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</row>
    <row r="174" spans="4:48" x14ac:dyDescent="0.3">
      <c r="D174" s="5"/>
      <c r="E174" s="5"/>
      <c r="F174" s="20"/>
      <c r="G174" s="20"/>
      <c r="H174" s="5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</row>
    <row r="175" spans="4:48" x14ac:dyDescent="0.3">
      <c r="D175" s="5"/>
      <c r="E175" s="5"/>
      <c r="F175" s="20"/>
      <c r="G175" s="20"/>
      <c r="H175" s="5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</row>
    <row r="176" spans="4:48" x14ac:dyDescent="0.3">
      <c r="D176" s="5"/>
      <c r="E176" s="5"/>
      <c r="F176" s="20"/>
      <c r="G176" s="20"/>
      <c r="H176" s="5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</row>
    <row r="177" spans="4:48" x14ac:dyDescent="0.3">
      <c r="D177" s="5"/>
      <c r="E177" s="5"/>
      <c r="F177" s="20"/>
      <c r="G177" s="20"/>
      <c r="H177" s="5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</row>
    <row r="178" spans="4:48" x14ac:dyDescent="0.3">
      <c r="D178" s="5"/>
      <c r="E178" s="5"/>
      <c r="F178" s="20"/>
      <c r="G178" s="20"/>
      <c r="H178" s="5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</row>
    <row r="179" spans="4:48" x14ac:dyDescent="0.3">
      <c r="D179" s="5"/>
      <c r="E179" s="5"/>
      <c r="F179" s="20"/>
      <c r="G179" s="20"/>
      <c r="H179" s="5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</row>
    <row r="180" spans="4:48" x14ac:dyDescent="0.3">
      <c r="D180" s="5"/>
      <c r="E180" s="5"/>
      <c r="F180" s="20"/>
      <c r="G180" s="20"/>
      <c r="H180" s="5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</row>
    <row r="181" spans="4:48" x14ac:dyDescent="0.3">
      <c r="D181" s="5"/>
      <c r="E181" s="5"/>
      <c r="F181" s="20"/>
      <c r="G181" s="20"/>
      <c r="H181" s="5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</row>
    <row r="182" spans="4:48" x14ac:dyDescent="0.3">
      <c r="D182" s="5"/>
      <c r="E182" s="5"/>
      <c r="F182" s="20"/>
      <c r="G182" s="20"/>
      <c r="H182" s="5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</row>
    <row r="183" spans="4:48" x14ac:dyDescent="0.3">
      <c r="D183" s="5"/>
      <c r="E183" s="5"/>
      <c r="F183" s="20"/>
      <c r="G183" s="20"/>
      <c r="H183" s="5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</row>
    <row r="184" spans="4:48" x14ac:dyDescent="0.3">
      <c r="D184" s="5"/>
      <c r="E184" s="5"/>
      <c r="F184" s="20"/>
      <c r="G184" s="20"/>
      <c r="H184" s="5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</row>
    <row r="185" spans="4:48" x14ac:dyDescent="0.3">
      <c r="D185" s="5"/>
      <c r="E185" s="5"/>
      <c r="F185" s="20"/>
      <c r="G185" s="20"/>
      <c r="H185" s="5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</row>
    <row r="186" spans="4:48" x14ac:dyDescent="0.3">
      <c r="D186" s="5"/>
      <c r="E186" s="5"/>
      <c r="F186" s="20"/>
      <c r="G186" s="20"/>
      <c r="H186" s="5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</row>
    <row r="187" spans="4:48" x14ac:dyDescent="0.3">
      <c r="D187" s="5"/>
      <c r="E187" s="5"/>
      <c r="F187" s="20"/>
      <c r="G187" s="20"/>
      <c r="H187" s="5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</row>
    <row r="188" spans="4:48" x14ac:dyDescent="0.3">
      <c r="D188" s="5"/>
      <c r="E188" s="5"/>
      <c r="F188" s="20"/>
      <c r="G188" s="20"/>
      <c r="H188" s="5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</row>
    <row r="189" spans="4:48" x14ac:dyDescent="0.3">
      <c r="D189" s="5"/>
      <c r="E189" s="5"/>
      <c r="F189" s="20"/>
      <c r="G189" s="20"/>
      <c r="H189" s="5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</row>
    <row r="190" spans="4:48" x14ac:dyDescent="0.3">
      <c r="D190" s="5"/>
      <c r="E190" s="5"/>
      <c r="F190" s="20"/>
      <c r="G190" s="20"/>
      <c r="H190" s="5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</row>
    <row r="191" spans="4:48" x14ac:dyDescent="0.3">
      <c r="D191" s="5"/>
      <c r="E191" s="5"/>
      <c r="F191" s="20"/>
      <c r="G191" s="20"/>
      <c r="H191" s="5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</row>
    <row r="192" spans="4:48" x14ac:dyDescent="0.3">
      <c r="D192" s="5"/>
      <c r="E192" s="5"/>
      <c r="F192" s="20"/>
      <c r="G192" s="20"/>
      <c r="H192" s="5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</row>
    <row r="193" spans="4:48" x14ac:dyDescent="0.3">
      <c r="D193" s="5"/>
      <c r="E193" s="5"/>
      <c r="F193" s="20"/>
      <c r="G193" s="20"/>
      <c r="H193" s="5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</row>
    <row r="194" spans="4:48" x14ac:dyDescent="0.3">
      <c r="D194" s="5"/>
      <c r="E194" s="5"/>
      <c r="F194" s="20"/>
      <c r="G194" s="20"/>
      <c r="H194" s="5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</row>
    <row r="195" spans="4:48" x14ac:dyDescent="0.3">
      <c r="D195" s="5"/>
      <c r="E195" s="5"/>
      <c r="F195" s="20"/>
      <c r="G195" s="20"/>
      <c r="H195" s="5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</row>
    <row r="196" spans="4:48" x14ac:dyDescent="0.3">
      <c r="D196" s="5"/>
      <c r="E196" s="5"/>
      <c r="F196" s="20"/>
      <c r="G196" s="20"/>
      <c r="H196" s="5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</row>
    <row r="197" spans="4:48" x14ac:dyDescent="0.3">
      <c r="D197" s="5"/>
      <c r="E197" s="5"/>
      <c r="F197" s="20"/>
      <c r="G197" s="20"/>
      <c r="H197" s="5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</row>
    <row r="198" spans="4:48" x14ac:dyDescent="0.3">
      <c r="D198" s="5"/>
      <c r="E198" s="5"/>
      <c r="F198" s="20"/>
      <c r="G198" s="20"/>
      <c r="H198" s="5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</row>
    <row r="199" spans="4:48" x14ac:dyDescent="0.3">
      <c r="D199" s="5"/>
      <c r="E199" s="5"/>
      <c r="F199" s="20"/>
      <c r="G199" s="20"/>
      <c r="H199" s="5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</row>
    <row r="200" spans="4:48" x14ac:dyDescent="0.3">
      <c r="D200" s="5"/>
      <c r="E200" s="5"/>
      <c r="F200" s="20"/>
      <c r="G200" s="20"/>
      <c r="H200" s="5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</row>
    <row r="201" spans="4:48" x14ac:dyDescent="0.3">
      <c r="D201" s="5"/>
      <c r="E201" s="5"/>
      <c r="F201" s="20"/>
      <c r="G201" s="20"/>
      <c r="H201" s="5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</row>
    <row r="202" spans="4:48" x14ac:dyDescent="0.3">
      <c r="D202" s="5"/>
      <c r="E202" s="5"/>
      <c r="F202" s="20"/>
      <c r="G202" s="20"/>
      <c r="H202" s="5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</row>
    <row r="203" spans="4:48" x14ac:dyDescent="0.3">
      <c r="D203" s="5"/>
      <c r="E203" s="5"/>
      <c r="F203" s="20"/>
      <c r="G203" s="20"/>
      <c r="H203" s="5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</row>
    <row r="204" spans="4:48" x14ac:dyDescent="0.3">
      <c r="D204" s="5"/>
      <c r="E204" s="5"/>
      <c r="F204" s="20"/>
      <c r="G204" s="20"/>
      <c r="H204" s="5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</row>
    <row r="205" spans="4:48" x14ac:dyDescent="0.3">
      <c r="D205" s="5"/>
      <c r="E205" s="5"/>
      <c r="F205" s="20"/>
      <c r="G205" s="20"/>
      <c r="H205" s="5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</row>
    <row r="206" spans="4:48" x14ac:dyDescent="0.3">
      <c r="D206" s="5"/>
      <c r="E206" s="5"/>
      <c r="F206" s="20"/>
      <c r="G206" s="20"/>
      <c r="H206" s="5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</row>
    <row r="207" spans="4:48" x14ac:dyDescent="0.3">
      <c r="D207" s="5"/>
      <c r="E207" s="5"/>
      <c r="F207" s="20"/>
      <c r="G207" s="20"/>
      <c r="H207" s="5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</row>
    <row r="208" spans="4:48" x14ac:dyDescent="0.3">
      <c r="D208" s="5"/>
      <c r="E208" s="5"/>
      <c r="F208" s="20"/>
      <c r="G208" s="20"/>
      <c r="H208" s="5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</row>
    <row r="209" spans="4:48" x14ac:dyDescent="0.3">
      <c r="D209" s="5"/>
      <c r="E209" s="5"/>
      <c r="F209" s="20"/>
      <c r="G209" s="20"/>
      <c r="H209" s="5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</row>
    <row r="210" spans="4:48" x14ac:dyDescent="0.3">
      <c r="D210" s="5"/>
      <c r="E210" s="5"/>
      <c r="F210" s="20"/>
      <c r="G210" s="20"/>
      <c r="H210" s="5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</row>
    <row r="211" spans="4:48" x14ac:dyDescent="0.3">
      <c r="D211" s="5"/>
      <c r="E211" s="5"/>
      <c r="F211" s="20"/>
      <c r="G211" s="20"/>
      <c r="H211" s="5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</row>
    <row r="212" spans="4:48" x14ac:dyDescent="0.3">
      <c r="D212" s="5"/>
      <c r="E212" s="5"/>
      <c r="F212" s="20"/>
      <c r="G212" s="20"/>
      <c r="H212" s="5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</row>
    <row r="213" spans="4:48" x14ac:dyDescent="0.3">
      <c r="D213" s="5"/>
      <c r="E213" s="5"/>
      <c r="F213" s="20"/>
      <c r="G213" s="20"/>
      <c r="H213" s="5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</row>
    <row r="214" spans="4:48" x14ac:dyDescent="0.3">
      <c r="D214" s="5"/>
      <c r="E214" s="5"/>
      <c r="F214" s="20"/>
      <c r="G214" s="20"/>
      <c r="H214" s="5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</row>
    <row r="215" spans="4:48" x14ac:dyDescent="0.3">
      <c r="D215" s="5"/>
      <c r="E215" s="5"/>
      <c r="F215" s="20"/>
      <c r="G215" s="20"/>
      <c r="H215" s="5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</row>
    <row r="216" spans="4:48" x14ac:dyDescent="0.3">
      <c r="D216" s="5"/>
      <c r="E216" s="5"/>
      <c r="F216" s="20"/>
      <c r="G216" s="20"/>
      <c r="H216" s="5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</row>
    <row r="217" spans="4:48" x14ac:dyDescent="0.3">
      <c r="D217" s="5"/>
      <c r="E217" s="5"/>
      <c r="F217" s="20"/>
      <c r="G217" s="20"/>
      <c r="H217" s="5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</row>
    <row r="218" spans="4:48" x14ac:dyDescent="0.3">
      <c r="D218" s="5"/>
      <c r="E218" s="5"/>
      <c r="F218" s="20"/>
      <c r="G218" s="20"/>
      <c r="H218" s="5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</row>
    <row r="219" spans="4:48" x14ac:dyDescent="0.3">
      <c r="D219" s="5"/>
      <c r="E219" s="5"/>
      <c r="F219" s="20"/>
      <c r="G219" s="20"/>
      <c r="H219" s="5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</row>
    <row r="220" spans="4:48" x14ac:dyDescent="0.3">
      <c r="D220" s="5"/>
      <c r="E220" s="5"/>
      <c r="F220" s="20"/>
      <c r="G220" s="20"/>
      <c r="H220" s="5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</row>
    <row r="221" spans="4:48" x14ac:dyDescent="0.3">
      <c r="D221" s="5"/>
      <c r="E221" s="5"/>
      <c r="F221" s="20"/>
      <c r="G221" s="20"/>
      <c r="H221" s="5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</row>
    <row r="222" spans="4:48" x14ac:dyDescent="0.3">
      <c r="D222" s="5"/>
      <c r="E222" s="5"/>
      <c r="F222" s="20"/>
      <c r="G222" s="20"/>
      <c r="H222" s="5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</row>
    <row r="223" spans="4:48" x14ac:dyDescent="0.3">
      <c r="D223" s="5"/>
      <c r="E223" s="5"/>
      <c r="F223" s="20"/>
      <c r="G223" s="20"/>
      <c r="H223" s="5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</row>
    <row r="224" spans="4:48" x14ac:dyDescent="0.3">
      <c r="D224" s="5"/>
      <c r="E224" s="5"/>
      <c r="F224" s="20"/>
      <c r="G224" s="20"/>
      <c r="H224" s="5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</row>
    <row r="225" spans="4:48" x14ac:dyDescent="0.3">
      <c r="D225" s="5"/>
      <c r="E225" s="5"/>
      <c r="F225" s="20"/>
      <c r="G225" s="20"/>
      <c r="H225" s="5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</row>
    <row r="226" spans="4:48" x14ac:dyDescent="0.3">
      <c r="D226" s="5"/>
      <c r="E226" s="5"/>
      <c r="F226" s="20"/>
      <c r="G226" s="20"/>
      <c r="H226" s="5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</row>
    <row r="227" spans="4:48" x14ac:dyDescent="0.3">
      <c r="D227" s="5"/>
      <c r="E227" s="5"/>
      <c r="F227" s="20"/>
      <c r="G227" s="20"/>
      <c r="H227" s="5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</row>
    <row r="228" spans="4:48" x14ac:dyDescent="0.3">
      <c r="D228" s="5"/>
      <c r="E228" s="5"/>
      <c r="F228" s="20"/>
      <c r="G228" s="20"/>
      <c r="H228" s="5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</row>
    <row r="229" spans="4:48" x14ac:dyDescent="0.3">
      <c r="D229" s="5"/>
      <c r="E229" s="5"/>
      <c r="F229" s="20"/>
      <c r="G229" s="20"/>
      <c r="H229" s="5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</row>
    <row r="230" spans="4:48" x14ac:dyDescent="0.3">
      <c r="D230" s="5"/>
      <c r="E230" s="5"/>
      <c r="F230" s="20"/>
      <c r="G230" s="20"/>
      <c r="H230" s="5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</row>
    <row r="231" spans="4:48" x14ac:dyDescent="0.3">
      <c r="D231" s="5"/>
      <c r="E231" s="5"/>
      <c r="F231" s="20"/>
      <c r="G231" s="20"/>
      <c r="H231" s="5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</row>
    <row r="232" spans="4:48" x14ac:dyDescent="0.3">
      <c r="D232" s="5"/>
      <c r="E232" s="5"/>
      <c r="F232" s="20"/>
      <c r="G232" s="20"/>
      <c r="H232" s="5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</row>
    <row r="233" spans="4:48" x14ac:dyDescent="0.3">
      <c r="D233" s="5"/>
      <c r="E233" s="5"/>
      <c r="F233" s="20"/>
      <c r="G233" s="20"/>
      <c r="H233" s="5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</row>
    <row r="234" spans="4:48" x14ac:dyDescent="0.3">
      <c r="D234" s="5"/>
      <c r="E234" s="5"/>
      <c r="F234" s="20"/>
      <c r="G234" s="20"/>
      <c r="H234" s="5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</row>
    <row r="235" spans="4:48" x14ac:dyDescent="0.3">
      <c r="D235" s="5"/>
      <c r="E235" s="5"/>
      <c r="F235" s="20"/>
      <c r="G235" s="20"/>
      <c r="H235" s="5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</row>
    <row r="236" spans="4:48" x14ac:dyDescent="0.3">
      <c r="D236" s="5"/>
      <c r="E236" s="5"/>
      <c r="F236" s="20"/>
      <c r="G236" s="20"/>
      <c r="H236" s="5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</row>
    <row r="237" spans="4:48" x14ac:dyDescent="0.3">
      <c r="D237" s="5"/>
      <c r="E237" s="5"/>
      <c r="F237" s="20"/>
      <c r="G237" s="20"/>
      <c r="H237" s="5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</row>
    <row r="238" spans="4:48" x14ac:dyDescent="0.3">
      <c r="D238" s="5"/>
      <c r="E238" s="5"/>
      <c r="F238" s="20"/>
      <c r="G238" s="20"/>
      <c r="H238" s="5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</row>
    <row r="239" spans="4:48" x14ac:dyDescent="0.3">
      <c r="D239" s="5"/>
      <c r="E239" s="5"/>
      <c r="F239" s="20"/>
      <c r="G239" s="20"/>
      <c r="H239" s="5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</row>
    <row r="240" spans="4:48" x14ac:dyDescent="0.3">
      <c r="D240" s="5"/>
      <c r="E240" s="5"/>
      <c r="F240" s="20"/>
      <c r="G240" s="20"/>
      <c r="H240" s="5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</row>
    <row r="241" spans="4:48" x14ac:dyDescent="0.3">
      <c r="D241" s="5"/>
      <c r="E241" s="5"/>
      <c r="F241" s="20"/>
      <c r="G241" s="20"/>
      <c r="H241" s="5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</row>
    <row r="242" spans="4:48" x14ac:dyDescent="0.3">
      <c r="D242" s="5"/>
      <c r="E242" s="5"/>
      <c r="F242" s="20"/>
      <c r="G242" s="20"/>
      <c r="H242" s="5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</row>
    <row r="243" spans="4:48" x14ac:dyDescent="0.3">
      <c r="D243" s="5"/>
      <c r="E243" s="5"/>
      <c r="F243" s="20"/>
      <c r="G243" s="20"/>
      <c r="H243" s="5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</row>
    <row r="244" spans="4:48" x14ac:dyDescent="0.3">
      <c r="D244" s="5"/>
      <c r="E244" s="5"/>
      <c r="F244" s="20"/>
      <c r="G244" s="20"/>
      <c r="H244" s="5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</row>
    <row r="245" spans="4:48" x14ac:dyDescent="0.3">
      <c r="D245" s="5"/>
      <c r="E245" s="5"/>
      <c r="F245" s="20"/>
      <c r="G245" s="20"/>
      <c r="H245" s="5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</row>
    <row r="246" spans="4:48" x14ac:dyDescent="0.3">
      <c r="D246" s="5"/>
      <c r="E246" s="5"/>
      <c r="F246" s="20"/>
      <c r="G246" s="20"/>
      <c r="H246" s="5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</row>
    <row r="247" spans="4:48" x14ac:dyDescent="0.3">
      <c r="D247" s="5"/>
      <c r="E247" s="5"/>
      <c r="F247" s="20"/>
      <c r="G247" s="20"/>
      <c r="H247" s="5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</row>
    <row r="248" spans="4:48" x14ac:dyDescent="0.3">
      <c r="D248" s="5"/>
      <c r="E248" s="5"/>
      <c r="F248" s="20"/>
      <c r="G248" s="20"/>
      <c r="H248" s="5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</row>
    <row r="249" spans="4:48" x14ac:dyDescent="0.3">
      <c r="D249" s="5"/>
      <c r="E249" s="5"/>
      <c r="F249" s="20"/>
      <c r="G249" s="20"/>
      <c r="H249" s="5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</row>
    <row r="250" spans="4:48" x14ac:dyDescent="0.3">
      <c r="D250" s="5"/>
      <c r="E250" s="5"/>
      <c r="F250" s="20"/>
      <c r="G250" s="20"/>
      <c r="H250" s="5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</row>
    <row r="251" spans="4:48" x14ac:dyDescent="0.3">
      <c r="D251" s="5"/>
      <c r="E251" s="5"/>
      <c r="F251" s="20"/>
      <c r="G251" s="20"/>
      <c r="H251" s="5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</row>
    <row r="252" spans="4:48" x14ac:dyDescent="0.3">
      <c r="D252" s="5"/>
      <c r="E252" s="5"/>
      <c r="F252" s="20"/>
      <c r="G252" s="20"/>
      <c r="H252" s="5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</row>
    <row r="253" spans="4:48" x14ac:dyDescent="0.3">
      <c r="D253" s="5"/>
      <c r="E253" s="5"/>
      <c r="F253" s="20"/>
      <c r="G253" s="20"/>
      <c r="H253" s="5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</row>
    <row r="254" spans="4:48" x14ac:dyDescent="0.3">
      <c r="D254" s="5"/>
      <c r="E254" s="5"/>
      <c r="F254" s="20"/>
      <c r="G254" s="20"/>
      <c r="H254" s="5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</row>
    <row r="255" spans="4:48" x14ac:dyDescent="0.3">
      <c r="D255" s="5"/>
      <c r="E255" s="5"/>
      <c r="F255" s="20"/>
      <c r="G255" s="20"/>
      <c r="H255" s="5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</row>
    <row r="256" spans="4:48" x14ac:dyDescent="0.3">
      <c r="D256" s="5"/>
      <c r="E256" s="5"/>
      <c r="F256" s="20"/>
      <c r="G256" s="20"/>
      <c r="H256" s="5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</row>
    <row r="257" spans="4:48" x14ac:dyDescent="0.3">
      <c r="D257" s="5"/>
      <c r="E257" s="5"/>
      <c r="F257" s="20"/>
      <c r="G257" s="20"/>
      <c r="H257" s="5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</row>
    <row r="258" spans="4:48" x14ac:dyDescent="0.3">
      <c r="D258" s="5"/>
      <c r="E258" s="5"/>
      <c r="F258" s="20"/>
      <c r="G258" s="20"/>
      <c r="H258" s="5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</row>
    <row r="259" spans="4:48" x14ac:dyDescent="0.3">
      <c r="D259" s="5"/>
      <c r="E259" s="5"/>
      <c r="F259" s="20"/>
      <c r="G259" s="20"/>
      <c r="H259" s="5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</row>
    <row r="260" spans="4:48" x14ac:dyDescent="0.3">
      <c r="D260" s="5"/>
      <c r="E260" s="5"/>
      <c r="F260" s="20"/>
      <c r="G260" s="20"/>
      <c r="H260" s="5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</row>
    <row r="261" spans="4:48" x14ac:dyDescent="0.3">
      <c r="D261" s="5"/>
      <c r="E261" s="5"/>
      <c r="F261" s="20"/>
      <c r="G261" s="20"/>
      <c r="H261" s="5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</row>
    <row r="262" spans="4:48" x14ac:dyDescent="0.3">
      <c r="D262" s="5"/>
      <c r="E262" s="5"/>
      <c r="F262" s="20"/>
      <c r="G262" s="20"/>
      <c r="H262" s="5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</row>
    <row r="263" spans="4:48" x14ac:dyDescent="0.3">
      <c r="D263" s="5"/>
      <c r="E263" s="5"/>
      <c r="F263" s="20"/>
      <c r="G263" s="20"/>
      <c r="H263" s="5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</row>
    <row r="264" spans="4:48" x14ac:dyDescent="0.3">
      <c r="D264" s="5"/>
      <c r="E264" s="5"/>
      <c r="F264" s="20"/>
      <c r="G264" s="20"/>
      <c r="H264" s="5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</row>
    <row r="265" spans="4:48" x14ac:dyDescent="0.3">
      <c r="D265" s="5"/>
      <c r="E265" s="5"/>
      <c r="F265" s="20"/>
      <c r="G265" s="20"/>
      <c r="H265" s="5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</row>
    <row r="266" spans="4:48" x14ac:dyDescent="0.3">
      <c r="D266" s="5"/>
      <c r="E266" s="5"/>
      <c r="F266" s="20"/>
      <c r="G266" s="20"/>
      <c r="H266" s="5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</row>
    <row r="267" spans="4:48" x14ac:dyDescent="0.3">
      <c r="D267" s="5"/>
      <c r="E267" s="5"/>
      <c r="F267" s="20"/>
      <c r="G267" s="20"/>
      <c r="H267" s="5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</row>
    <row r="268" spans="4:48" x14ac:dyDescent="0.3">
      <c r="D268" s="5"/>
      <c r="E268" s="5"/>
      <c r="F268" s="20"/>
      <c r="G268" s="20"/>
      <c r="H268" s="5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</row>
    <row r="269" spans="4:48" x14ac:dyDescent="0.3">
      <c r="D269" s="5"/>
      <c r="E269" s="5"/>
      <c r="F269" s="20"/>
      <c r="G269" s="20"/>
      <c r="H269" s="5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</row>
    <row r="270" spans="4:48" x14ac:dyDescent="0.3">
      <c r="D270" s="5"/>
      <c r="E270" s="5"/>
      <c r="F270" s="20"/>
      <c r="G270" s="20"/>
      <c r="H270" s="5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</row>
    <row r="271" spans="4:48" x14ac:dyDescent="0.3">
      <c r="D271" s="5"/>
      <c r="E271" s="5"/>
      <c r="F271" s="20"/>
      <c r="G271" s="20"/>
      <c r="H271" s="5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</row>
    <row r="272" spans="4:48" x14ac:dyDescent="0.3">
      <c r="D272" s="5"/>
      <c r="E272" s="5"/>
      <c r="F272" s="20"/>
      <c r="G272" s="20"/>
      <c r="H272" s="5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</row>
    <row r="273" spans="4:48" x14ac:dyDescent="0.3">
      <c r="D273" s="5"/>
      <c r="E273" s="5"/>
      <c r="F273" s="20"/>
      <c r="G273" s="20"/>
      <c r="H273" s="5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</row>
    <row r="274" spans="4:48" x14ac:dyDescent="0.3">
      <c r="D274" s="5"/>
      <c r="E274" s="5"/>
      <c r="F274" s="20"/>
      <c r="G274" s="20"/>
      <c r="H274" s="5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</row>
    <row r="275" spans="4:48" x14ac:dyDescent="0.3">
      <c r="D275" s="5"/>
      <c r="E275" s="5"/>
      <c r="F275" s="20"/>
      <c r="G275" s="20"/>
      <c r="H275" s="5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</row>
    <row r="276" spans="4:48" x14ac:dyDescent="0.3">
      <c r="D276" s="5"/>
      <c r="E276" s="5"/>
      <c r="F276" s="20"/>
      <c r="G276" s="20"/>
      <c r="H276" s="5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</row>
    <row r="277" spans="4:48" x14ac:dyDescent="0.3">
      <c r="D277" s="5"/>
      <c r="E277" s="5"/>
      <c r="F277" s="20"/>
      <c r="G277" s="20"/>
      <c r="H277" s="5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</row>
    <row r="278" spans="4:48" x14ac:dyDescent="0.3">
      <c r="D278" s="5"/>
      <c r="E278" s="5"/>
      <c r="F278" s="20"/>
      <c r="G278" s="20"/>
      <c r="H278" s="5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</row>
    <row r="279" spans="4:48" x14ac:dyDescent="0.3">
      <c r="D279" s="5"/>
      <c r="E279" s="5"/>
      <c r="F279" s="20"/>
      <c r="G279" s="20"/>
      <c r="H279" s="5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</row>
    <row r="280" spans="4:48" x14ac:dyDescent="0.3">
      <c r="D280" s="5"/>
      <c r="E280" s="5"/>
      <c r="F280" s="20"/>
      <c r="G280" s="20"/>
      <c r="H280" s="5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</row>
    <row r="281" spans="4:48" x14ac:dyDescent="0.3">
      <c r="D281" s="5"/>
      <c r="E281" s="5"/>
      <c r="F281" s="20"/>
      <c r="G281" s="20"/>
      <c r="H281" s="5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</row>
    <row r="282" spans="4:48" x14ac:dyDescent="0.3">
      <c r="D282" s="5"/>
      <c r="E282" s="5"/>
      <c r="F282" s="20"/>
      <c r="G282" s="20"/>
      <c r="H282" s="5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</row>
    <row r="283" spans="4:48" x14ac:dyDescent="0.3">
      <c r="D283" s="5"/>
      <c r="E283" s="5"/>
      <c r="F283" s="20"/>
      <c r="G283" s="20"/>
      <c r="H283" s="5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</row>
    <row r="284" spans="4:48" x14ac:dyDescent="0.3">
      <c r="D284" s="5"/>
      <c r="E284" s="5"/>
      <c r="F284" s="20"/>
      <c r="G284" s="20"/>
      <c r="H284" s="5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</row>
    <row r="285" spans="4:48" x14ac:dyDescent="0.3">
      <c r="D285" s="5"/>
      <c r="E285" s="5"/>
      <c r="F285" s="20"/>
      <c r="G285" s="20"/>
      <c r="H285" s="5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</row>
    <row r="286" spans="4:48" x14ac:dyDescent="0.3">
      <c r="D286" s="5"/>
      <c r="E286" s="5"/>
      <c r="F286" s="20"/>
      <c r="G286" s="20"/>
      <c r="H286" s="5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</row>
    <row r="287" spans="4:48" x14ac:dyDescent="0.3">
      <c r="D287" s="5"/>
      <c r="E287" s="5"/>
      <c r="F287" s="20"/>
      <c r="G287" s="20"/>
      <c r="H287" s="5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</row>
    <row r="288" spans="4:48" x14ac:dyDescent="0.3">
      <c r="D288" s="5"/>
      <c r="E288" s="5"/>
      <c r="F288" s="20"/>
      <c r="G288" s="20"/>
      <c r="H288" s="5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</row>
    <row r="289" spans="4:48" x14ac:dyDescent="0.3">
      <c r="D289" s="5"/>
      <c r="E289" s="5"/>
      <c r="F289" s="20"/>
      <c r="G289" s="20"/>
      <c r="H289" s="5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</row>
    <row r="290" spans="4:48" x14ac:dyDescent="0.3">
      <c r="D290" s="5"/>
      <c r="E290" s="5"/>
      <c r="F290" s="20"/>
      <c r="G290" s="20"/>
      <c r="H290" s="5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</row>
    <row r="291" spans="4:48" x14ac:dyDescent="0.3">
      <c r="D291" s="5"/>
      <c r="E291" s="5"/>
      <c r="F291" s="20"/>
      <c r="G291" s="20"/>
      <c r="H291" s="5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</row>
    <row r="292" spans="4:48" x14ac:dyDescent="0.3">
      <c r="D292" s="5"/>
      <c r="E292" s="5"/>
      <c r="F292" s="20"/>
      <c r="G292" s="20"/>
      <c r="H292" s="5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</row>
    <row r="293" spans="4:48" x14ac:dyDescent="0.3">
      <c r="D293" s="5"/>
      <c r="E293" s="5"/>
      <c r="F293" s="20"/>
      <c r="G293" s="20"/>
      <c r="H293" s="5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</row>
    <row r="294" spans="4:48" x14ac:dyDescent="0.3">
      <c r="D294" s="5"/>
      <c r="E294" s="5"/>
      <c r="F294" s="20"/>
      <c r="G294" s="20"/>
      <c r="H294" s="5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</row>
    <row r="295" spans="4:48" x14ac:dyDescent="0.3">
      <c r="D295" s="5"/>
      <c r="E295" s="5"/>
      <c r="F295" s="20"/>
      <c r="G295" s="20"/>
      <c r="H295" s="5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</row>
    <row r="296" spans="4:48" x14ac:dyDescent="0.3">
      <c r="D296" s="5"/>
      <c r="E296" s="5"/>
      <c r="F296" s="20"/>
      <c r="G296" s="20"/>
      <c r="H296" s="5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</row>
    <row r="297" spans="4:48" x14ac:dyDescent="0.3">
      <c r="D297" s="5"/>
      <c r="E297" s="5"/>
      <c r="F297" s="20"/>
      <c r="G297" s="20"/>
      <c r="H297" s="5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</row>
    <row r="298" spans="4:48" x14ac:dyDescent="0.3">
      <c r="D298" s="5"/>
      <c r="E298" s="5"/>
      <c r="F298" s="20"/>
      <c r="G298" s="20"/>
      <c r="H298" s="5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</row>
    <row r="299" spans="4:48" x14ac:dyDescent="0.3">
      <c r="D299" s="5"/>
      <c r="E299" s="5"/>
      <c r="F299" s="20"/>
      <c r="G299" s="20"/>
      <c r="H299" s="5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</row>
    <row r="300" spans="4:48" x14ac:dyDescent="0.3">
      <c r="D300" s="5"/>
      <c r="E300" s="5"/>
      <c r="F300" s="20"/>
      <c r="G300" s="20"/>
      <c r="H300" s="5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</row>
    <row r="301" spans="4:48" x14ac:dyDescent="0.3">
      <c r="D301" s="5"/>
      <c r="E301" s="5"/>
      <c r="F301" s="20"/>
      <c r="G301" s="20"/>
      <c r="H301" s="5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</row>
    <row r="302" spans="4:48" x14ac:dyDescent="0.3">
      <c r="D302" s="5"/>
      <c r="E302" s="5"/>
      <c r="F302" s="20"/>
      <c r="G302" s="20"/>
      <c r="H302" s="5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</row>
    <row r="303" spans="4:48" x14ac:dyDescent="0.3">
      <c r="D303" s="5"/>
      <c r="E303" s="5"/>
      <c r="F303" s="20"/>
      <c r="G303" s="20"/>
      <c r="H303" s="5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</row>
    <row r="304" spans="4:48" x14ac:dyDescent="0.3">
      <c r="D304" s="5"/>
      <c r="E304" s="5"/>
      <c r="F304" s="20"/>
      <c r="G304" s="20"/>
      <c r="H304" s="5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</row>
    <row r="305" spans="4:48" x14ac:dyDescent="0.3">
      <c r="D305" s="5"/>
      <c r="E305" s="5"/>
      <c r="F305" s="20"/>
      <c r="G305" s="20"/>
      <c r="H305" s="5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</row>
    <row r="306" spans="4:48" x14ac:dyDescent="0.3">
      <c r="D306" s="5"/>
      <c r="E306" s="5"/>
      <c r="F306" s="20"/>
      <c r="G306" s="20"/>
      <c r="H306" s="5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</row>
    <row r="307" spans="4:48" x14ac:dyDescent="0.3">
      <c r="D307" s="5"/>
      <c r="E307" s="5"/>
      <c r="F307" s="20"/>
      <c r="G307" s="20"/>
      <c r="H307" s="5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</row>
    <row r="308" spans="4:48" x14ac:dyDescent="0.3">
      <c r="D308" s="5"/>
      <c r="E308" s="5"/>
      <c r="F308" s="20"/>
      <c r="G308" s="20"/>
      <c r="H308" s="5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</row>
    <row r="309" spans="4:48" x14ac:dyDescent="0.3">
      <c r="D309" s="5"/>
      <c r="E309" s="5"/>
      <c r="F309" s="20"/>
      <c r="G309" s="20"/>
      <c r="H309" s="5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</row>
    <row r="310" spans="4:48" x14ac:dyDescent="0.3">
      <c r="D310" s="5"/>
      <c r="E310" s="5"/>
      <c r="F310" s="20"/>
      <c r="G310" s="20"/>
      <c r="H310" s="5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</row>
    <row r="311" spans="4:48" x14ac:dyDescent="0.3">
      <c r="D311" s="5"/>
      <c r="E311" s="5"/>
      <c r="F311" s="20"/>
      <c r="G311" s="20"/>
      <c r="H311" s="5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</row>
    <row r="312" spans="4:48" x14ac:dyDescent="0.3">
      <c r="D312" s="5"/>
      <c r="E312" s="5"/>
      <c r="F312" s="20"/>
      <c r="G312" s="20"/>
      <c r="H312" s="5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</row>
    <row r="313" spans="4:48" x14ac:dyDescent="0.3">
      <c r="D313" s="5"/>
      <c r="E313" s="5"/>
      <c r="F313" s="20"/>
      <c r="G313" s="20"/>
      <c r="H313" s="5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</row>
    <row r="314" spans="4:48" x14ac:dyDescent="0.3">
      <c r="D314" s="5"/>
      <c r="E314" s="5"/>
      <c r="F314" s="20"/>
      <c r="G314" s="20"/>
      <c r="H314" s="5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</row>
    <row r="315" spans="4:48" x14ac:dyDescent="0.3">
      <c r="D315" s="5"/>
      <c r="E315" s="5"/>
      <c r="F315" s="20"/>
      <c r="G315" s="20"/>
      <c r="H315" s="5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</row>
    <row r="316" spans="4:48" x14ac:dyDescent="0.3">
      <c r="D316" s="5"/>
      <c r="E316" s="5"/>
      <c r="F316" s="20"/>
      <c r="G316" s="20"/>
      <c r="H316" s="5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</row>
    <row r="317" spans="4:48" x14ac:dyDescent="0.3">
      <c r="D317" s="5"/>
      <c r="E317" s="5"/>
      <c r="F317" s="20"/>
      <c r="G317" s="20"/>
      <c r="H317" s="5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</row>
    <row r="318" spans="4:48" x14ac:dyDescent="0.3">
      <c r="D318" s="5"/>
      <c r="E318" s="5"/>
      <c r="F318" s="20"/>
      <c r="G318" s="20"/>
      <c r="H318" s="5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</row>
    <row r="319" spans="4:48" x14ac:dyDescent="0.3">
      <c r="D319" s="5"/>
      <c r="E319" s="5"/>
      <c r="F319" s="20"/>
      <c r="G319" s="20"/>
      <c r="H319" s="5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</row>
    <row r="320" spans="4:48" x14ac:dyDescent="0.3">
      <c r="D320" s="5"/>
      <c r="E320" s="5"/>
      <c r="F320" s="20"/>
      <c r="G320" s="20"/>
      <c r="H320" s="5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</row>
    <row r="321" spans="4:48" x14ac:dyDescent="0.3">
      <c r="D321" s="5"/>
      <c r="E321" s="5"/>
      <c r="F321" s="20"/>
      <c r="G321" s="20"/>
      <c r="H321" s="5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</row>
    <row r="322" spans="4:48" x14ac:dyDescent="0.3">
      <c r="D322" s="5"/>
      <c r="E322" s="5"/>
      <c r="F322" s="20"/>
      <c r="G322" s="20"/>
      <c r="H322" s="5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</row>
    <row r="323" spans="4:48" x14ac:dyDescent="0.3">
      <c r="D323" s="5"/>
      <c r="E323" s="5"/>
      <c r="F323" s="20"/>
      <c r="G323" s="20"/>
      <c r="H323" s="5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</row>
    <row r="324" spans="4:48" x14ac:dyDescent="0.3">
      <c r="D324" s="5"/>
      <c r="E324" s="5"/>
      <c r="F324" s="20"/>
      <c r="G324" s="20"/>
      <c r="H324" s="5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</row>
    <row r="325" spans="4:48" x14ac:dyDescent="0.3">
      <c r="D325" s="5"/>
      <c r="E325" s="5"/>
      <c r="F325" s="20"/>
      <c r="G325" s="20"/>
      <c r="H325" s="5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</row>
    <row r="326" spans="4:48" x14ac:dyDescent="0.3">
      <c r="D326" s="5"/>
      <c r="E326" s="5"/>
      <c r="F326" s="20"/>
      <c r="G326" s="20"/>
      <c r="H326" s="5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</row>
    <row r="327" spans="4:48" x14ac:dyDescent="0.3">
      <c r="D327" s="5"/>
      <c r="E327" s="5"/>
      <c r="F327" s="20"/>
      <c r="G327" s="20"/>
      <c r="H327" s="5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</row>
    <row r="328" spans="4:48" x14ac:dyDescent="0.3">
      <c r="D328" s="5"/>
      <c r="E328" s="5"/>
      <c r="F328" s="20"/>
      <c r="G328" s="20"/>
      <c r="H328" s="5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</row>
    <row r="329" spans="4:48" x14ac:dyDescent="0.3">
      <c r="D329" s="5"/>
      <c r="E329" s="5"/>
      <c r="F329" s="20"/>
      <c r="G329" s="20"/>
      <c r="H329" s="5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</row>
    <row r="330" spans="4:48" x14ac:dyDescent="0.3">
      <c r="D330" s="5"/>
      <c r="E330" s="5"/>
      <c r="F330" s="20"/>
      <c r="G330" s="20"/>
      <c r="H330" s="5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</row>
    <row r="331" spans="4:48" x14ac:dyDescent="0.3">
      <c r="D331" s="5"/>
      <c r="E331" s="5"/>
      <c r="F331" s="20"/>
      <c r="G331" s="20"/>
      <c r="H331" s="5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</row>
    <row r="332" spans="4:48" x14ac:dyDescent="0.3">
      <c r="D332" s="5"/>
      <c r="E332" s="5"/>
      <c r="F332" s="20"/>
      <c r="G332" s="20"/>
      <c r="H332" s="5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</row>
    <row r="333" spans="4:48" x14ac:dyDescent="0.3">
      <c r="D333" s="5"/>
      <c r="E333" s="5"/>
      <c r="F333" s="20"/>
      <c r="G333" s="20"/>
      <c r="H333" s="5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</row>
    <row r="334" spans="4:48" x14ac:dyDescent="0.3">
      <c r="D334" s="5"/>
      <c r="E334" s="5"/>
      <c r="F334" s="20"/>
      <c r="G334" s="20"/>
      <c r="H334" s="5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</row>
    <row r="335" spans="4:48" x14ac:dyDescent="0.3">
      <c r="D335" s="5"/>
      <c r="E335" s="5"/>
      <c r="F335" s="20"/>
      <c r="G335" s="20"/>
      <c r="H335" s="5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</row>
    <row r="336" spans="4:48" x14ac:dyDescent="0.3">
      <c r="D336" s="5"/>
      <c r="E336" s="5"/>
      <c r="F336" s="20"/>
      <c r="G336" s="20"/>
      <c r="H336" s="5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</row>
    <row r="337" spans="4:48" x14ac:dyDescent="0.3">
      <c r="D337" s="5"/>
      <c r="E337" s="5"/>
      <c r="F337" s="20"/>
      <c r="G337" s="20"/>
      <c r="H337" s="5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</row>
    <row r="338" spans="4:48" x14ac:dyDescent="0.3">
      <c r="D338" s="5"/>
      <c r="E338" s="5"/>
      <c r="F338" s="20"/>
      <c r="G338" s="20"/>
      <c r="H338" s="5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</row>
    <row r="339" spans="4:48" x14ac:dyDescent="0.3">
      <c r="D339" s="5"/>
      <c r="E339" s="5"/>
      <c r="F339" s="20"/>
      <c r="G339" s="20"/>
      <c r="H339" s="5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</row>
    <row r="340" spans="4:48" x14ac:dyDescent="0.3">
      <c r="D340" s="5"/>
      <c r="E340" s="5"/>
      <c r="F340" s="20"/>
      <c r="G340" s="20"/>
      <c r="H340" s="5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</row>
    <row r="341" spans="4:48" x14ac:dyDescent="0.3">
      <c r="D341" s="5"/>
      <c r="E341" s="5"/>
      <c r="F341" s="20"/>
      <c r="G341" s="20"/>
      <c r="H341" s="5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</row>
    <row r="342" spans="4:48" x14ac:dyDescent="0.3">
      <c r="D342" s="5"/>
      <c r="E342" s="5"/>
      <c r="F342" s="20"/>
      <c r="G342" s="20"/>
      <c r="H342" s="5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</row>
    <row r="343" spans="4:48" x14ac:dyDescent="0.3">
      <c r="D343" s="5"/>
      <c r="E343" s="5"/>
      <c r="F343" s="20"/>
      <c r="G343" s="20"/>
      <c r="H343" s="5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</row>
    <row r="344" spans="4:48" x14ac:dyDescent="0.3">
      <c r="D344" s="5"/>
      <c r="E344" s="5"/>
      <c r="F344" s="20"/>
      <c r="G344" s="20"/>
      <c r="H344" s="5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</row>
    <row r="345" spans="4:48" x14ac:dyDescent="0.3">
      <c r="D345" s="5"/>
      <c r="E345" s="5"/>
      <c r="F345" s="20"/>
      <c r="G345" s="20"/>
      <c r="H345" s="5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</row>
    <row r="346" spans="4:48" x14ac:dyDescent="0.3">
      <c r="D346" s="5"/>
      <c r="E346" s="5"/>
      <c r="F346" s="20"/>
      <c r="G346" s="20"/>
      <c r="H346" s="5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</row>
    <row r="347" spans="4:48" x14ac:dyDescent="0.3">
      <c r="D347" s="5"/>
      <c r="E347" s="5"/>
      <c r="F347" s="20"/>
      <c r="G347" s="20"/>
      <c r="H347" s="5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</row>
    <row r="348" spans="4:48" x14ac:dyDescent="0.3">
      <c r="D348" s="5"/>
      <c r="E348" s="5"/>
      <c r="F348" s="20"/>
      <c r="G348" s="20"/>
      <c r="H348" s="5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</row>
    <row r="349" spans="4:48" x14ac:dyDescent="0.3">
      <c r="D349" s="5"/>
      <c r="E349" s="5"/>
      <c r="F349" s="20"/>
      <c r="G349" s="20"/>
      <c r="H349" s="5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</row>
    <row r="350" spans="4:48" x14ac:dyDescent="0.3">
      <c r="D350" s="5"/>
      <c r="E350" s="5"/>
      <c r="F350" s="20"/>
      <c r="G350" s="20"/>
      <c r="H350" s="5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</row>
    <row r="351" spans="4:48" x14ac:dyDescent="0.3">
      <c r="D351" s="5"/>
      <c r="E351" s="5"/>
      <c r="F351" s="20"/>
      <c r="G351" s="20"/>
      <c r="H351" s="5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</row>
    <row r="352" spans="4:48" x14ac:dyDescent="0.3">
      <c r="D352" s="5"/>
      <c r="E352" s="5"/>
      <c r="F352" s="20"/>
      <c r="G352" s="20"/>
      <c r="H352" s="5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</row>
    <row r="353" spans="4:48" x14ac:dyDescent="0.3">
      <c r="D353" s="5"/>
      <c r="E353" s="5"/>
      <c r="F353" s="20"/>
      <c r="G353" s="20"/>
      <c r="H353" s="5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</row>
    <row r="354" spans="4:48" x14ac:dyDescent="0.3">
      <c r="D354" s="5"/>
      <c r="E354" s="5"/>
      <c r="F354" s="20"/>
      <c r="G354" s="20"/>
      <c r="H354" s="5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</row>
    <row r="355" spans="4:48" x14ac:dyDescent="0.3">
      <c r="D355" s="5"/>
      <c r="E355" s="5"/>
      <c r="F355" s="20"/>
      <c r="G355" s="20"/>
      <c r="H355" s="5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</row>
    <row r="356" spans="4:48" x14ac:dyDescent="0.3">
      <c r="D356" s="5"/>
      <c r="E356" s="5"/>
      <c r="F356" s="20"/>
      <c r="G356" s="20"/>
      <c r="H356" s="5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</row>
    <row r="357" spans="4:48" x14ac:dyDescent="0.3">
      <c r="D357" s="5"/>
      <c r="E357" s="5"/>
      <c r="F357" s="20"/>
      <c r="G357" s="20"/>
      <c r="H357" s="5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</row>
    <row r="358" spans="4:48" x14ac:dyDescent="0.3">
      <c r="D358" s="5"/>
      <c r="E358" s="5"/>
      <c r="F358" s="20"/>
      <c r="G358" s="20"/>
      <c r="H358" s="5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</row>
    <row r="359" spans="4:48" x14ac:dyDescent="0.3">
      <c r="D359" s="5"/>
      <c r="E359" s="5"/>
      <c r="F359" s="20"/>
      <c r="G359" s="20"/>
      <c r="H359" s="5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</row>
    <row r="360" spans="4:48" x14ac:dyDescent="0.3">
      <c r="D360" s="5"/>
      <c r="E360" s="5"/>
      <c r="F360" s="20"/>
      <c r="G360" s="20"/>
      <c r="H360" s="5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</row>
    <row r="361" spans="4:48" x14ac:dyDescent="0.3">
      <c r="D361" s="5"/>
      <c r="E361" s="5"/>
      <c r="F361" s="20"/>
      <c r="G361" s="20"/>
      <c r="H361" s="5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</row>
    <row r="362" spans="4:48" x14ac:dyDescent="0.3">
      <c r="D362" s="5"/>
      <c r="E362" s="5"/>
      <c r="F362" s="20"/>
      <c r="G362" s="20"/>
      <c r="H362" s="5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</row>
    <row r="363" spans="4:48" x14ac:dyDescent="0.3">
      <c r="D363" s="5"/>
      <c r="E363" s="5"/>
      <c r="F363" s="20"/>
      <c r="G363" s="20"/>
      <c r="H363" s="5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</row>
    <row r="364" spans="4:48" x14ac:dyDescent="0.3">
      <c r="D364" s="5"/>
      <c r="E364" s="5"/>
      <c r="F364" s="20"/>
      <c r="G364" s="20"/>
      <c r="H364" s="5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</row>
    <row r="365" spans="4:48" x14ac:dyDescent="0.3">
      <c r="D365" s="5"/>
      <c r="E365" s="5"/>
      <c r="F365" s="20"/>
      <c r="G365" s="20"/>
      <c r="H365" s="5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</row>
    <row r="366" spans="4:48" x14ac:dyDescent="0.3">
      <c r="D366" s="5"/>
      <c r="E366" s="5"/>
      <c r="F366" s="20"/>
      <c r="G366" s="20"/>
      <c r="H366" s="5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</row>
    <row r="367" spans="4:48" x14ac:dyDescent="0.3">
      <c r="D367" s="5"/>
      <c r="E367" s="5"/>
      <c r="F367" s="20"/>
      <c r="G367" s="20"/>
      <c r="H367" s="5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</row>
    <row r="368" spans="4:48" x14ac:dyDescent="0.3">
      <c r="D368" s="5"/>
      <c r="E368" s="5"/>
      <c r="F368" s="20"/>
      <c r="G368" s="20"/>
      <c r="H368" s="5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</row>
    <row r="369" spans="4:48" x14ac:dyDescent="0.3">
      <c r="D369" s="5"/>
      <c r="E369" s="5"/>
      <c r="F369" s="20"/>
      <c r="G369" s="20"/>
      <c r="H369" s="5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</row>
    <row r="370" spans="4:48" x14ac:dyDescent="0.3">
      <c r="D370" s="5"/>
      <c r="E370" s="5"/>
      <c r="F370" s="20"/>
      <c r="G370" s="20"/>
      <c r="H370" s="5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</row>
    <row r="371" spans="4:48" x14ac:dyDescent="0.3">
      <c r="D371" s="5"/>
      <c r="E371" s="5"/>
      <c r="F371" s="20"/>
      <c r="G371" s="20"/>
      <c r="H371" s="5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</row>
    <row r="372" spans="4:48" x14ac:dyDescent="0.3">
      <c r="D372" s="5"/>
      <c r="E372" s="5"/>
      <c r="F372" s="20"/>
      <c r="G372" s="20"/>
      <c r="H372" s="5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</row>
    <row r="373" spans="4:48" x14ac:dyDescent="0.3">
      <c r="D373" s="5"/>
      <c r="E373" s="5"/>
      <c r="F373" s="20"/>
      <c r="G373" s="20"/>
      <c r="H373" s="5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</row>
    <row r="374" spans="4:48" x14ac:dyDescent="0.3">
      <c r="D374" s="5"/>
      <c r="E374" s="5"/>
      <c r="F374" s="20"/>
      <c r="G374" s="20"/>
      <c r="H374" s="5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</row>
    <row r="375" spans="4:48" x14ac:dyDescent="0.3">
      <c r="D375" s="5"/>
      <c r="E375" s="5"/>
      <c r="F375" s="20"/>
      <c r="G375" s="20"/>
      <c r="H375" s="5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</row>
    <row r="376" spans="4:48" x14ac:dyDescent="0.3">
      <c r="D376" s="5"/>
      <c r="E376" s="5"/>
      <c r="F376" s="20"/>
      <c r="G376" s="20"/>
      <c r="H376" s="5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</row>
    <row r="377" spans="4:48" x14ac:dyDescent="0.3">
      <c r="D377" s="5"/>
      <c r="E377" s="5"/>
      <c r="F377" s="20"/>
      <c r="G377" s="20"/>
      <c r="H377" s="5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</row>
    <row r="378" spans="4:48" x14ac:dyDescent="0.3">
      <c r="D378" s="5"/>
      <c r="E378" s="5"/>
      <c r="F378" s="20"/>
      <c r="G378" s="20"/>
      <c r="H378" s="5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</row>
    <row r="379" spans="4:48" x14ac:dyDescent="0.3">
      <c r="D379" s="5"/>
      <c r="E379" s="5"/>
      <c r="F379" s="20"/>
      <c r="G379" s="20"/>
      <c r="H379" s="5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</row>
    <row r="380" spans="4:48" x14ac:dyDescent="0.3">
      <c r="D380" s="5"/>
      <c r="E380" s="5"/>
      <c r="F380" s="20"/>
      <c r="G380" s="20"/>
      <c r="H380" s="5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</row>
    <row r="381" spans="4:48" x14ac:dyDescent="0.3">
      <c r="D381" s="5"/>
      <c r="E381" s="5"/>
      <c r="F381" s="20"/>
      <c r="G381" s="20"/>
      <c r="H381" s="5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</row>
    <row r="382" spans="4:48" x14ac:dyDescent="0.3">
      <c r="D382" s="5"/>
      <c r="E382" s="5"/>
      <c r="F382" s="20"/>
      <c r="G382" s="20"/>
      <c r="H382" s="5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</row>
    <row r="383" spans="4:48" x14ac:dyDescent="0.3">
      <c r="D383" s="5"/>
      <c r="E383" s="5"/>
      <c r="F383" s="20"/>
      <c r="G383" s="20"/>
      <c r="H383" s="5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</row>
    <row r="384" spans="4:48" x14ac:dyDescent="0.3">
      <c r="D384" s="5"/>
      <c r="E384" s="5"/>
      <c r="F384" s="20"/>
      <c r="G384" s="20"/>
      <c r="H384" s="5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</row>
    <row r="385" spans="4:48" x14ac:dyDescent="0.3">
      <c r="D385" s="5"/>
      <c r="E385" s="5"/>
      <c r="F385" s="20"/>
      <c r="G385" s="20"/>
      <c r="H385" s="5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</row>
    <row r="386" spans="4:48" x14ac:dyDescent="0.3">
      <c r="D386" s="5"/>
      <c r="E386" s="5"/>
      <c r="F386" s="20"/>
      <c r="G386" s="20"/>
      <c r="H386" s="5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</row>
    <row r="387" spans="4:48" x14ac:dyDescent="0.3">
      <c r="D387" s="5"/>
      <c r="E387" s="5"/>
      <c r="F387" s="20"/>
      <c r="G387" s="20"/>
      <c r="H387" s="5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</row>
    <row r="388" spans="4:48" x14ac:dyDescent="0.3">
      <c r="D388" s="5"/>
      <c r="E388" s="5"/>
      <c r="F388" s="20"/>
      <c r="G388" s="20"/>
      <c r="H388" s="5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</row>
    <row r="389" spans="4:48" x14ac:dyDescent="0.3">
      <c r="D389" s="5"/>
      <c r="E389" s="5"/>
      <c r="F389" s="20"/>
      <c r="G389" s="20"/>
      <c r="H389" s="5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</row>
    <row r="390" spans="4:48" x14ac:dyDescent="0.3">
      <c r="D390" s="5"/>
      <c r="E390" s="5"/>
      <c r="F390" s="20"/>
      <c r="G390" s="20"/>
      <c r="H390" s="5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</row>
    <row r="391" spans="4:48" x14ac:dyDescent="0.3">
      <c r="D391" s="5"/>
      <c r="E391" s="5"/>
      <c r="F391" s="20"/>
      <c r="G391" s="20"/>
      <c r="H391" s="5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</row>
    <row r="392" spans="4:48" x14ac:dyDescent="0.3">
      <c r="D392" s="5"/>
      <c r="E392" s="5"/>
      <c r="F392" s="20"/>
      <c r="G392" s="20"/>
      <c r="H392" s="5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</row>
    <row r="393" spans="4:48" x14ac:dyDescent="0.3">
      <c r="D393" s="5"/>
      <c r="E393" s="5"/>
      <c r="F393" s="20"/>
      <c r="G393" s="20"/>
      <c r="H393" s="5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</row>
    <row r="394" spans="4:48" x14ac:dyDescent="0.3">
      <c r="D394" s="5"/>
      <c r="E394" s="5"/>
      <c r="F394" s="20"/>
      <c r="G394" s="20"/>
      <c r="H394" s="5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</row>
    <row r="395" spans="4:48" x14ac:dyDescent="0.3">
      <c r="D395" s="5"/>
      <c r="E395" s="5"/>
      <c r="F395" s="20"/>
      <c r="G395" s="20"/>
      <c r="H395" s="5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</row>
    <row r="396" spans="4:48" x14ac:dyDescent="0.3">
      <c r="D396" s="5"/>
      <c r="E396" s="5"/>
      <c r="F396" s="20"/>
      <c r="G396" s="20"/>
      <c r="H396" s="5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</row>
    <row r="397" spans="4:48" x14ac:dyDescent="0.3">
      <c r="D397" s="5"/>
      <c r="E397" s="5"/>
      <c r="F397" s="20"/>
      <c r="G397" s="20"/>
      <c r="H397" s="5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</row>
    <row r="398" spans="4:48" x14ac:dyDescent="0.3">
      <c r="D398" s="5"/>
      <c r="E398" s="5"/>
      <c r="F398" s="20"/>
      <c r="G398" s="20"/>
      <c r="H398" s="5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</row>
    <row r="399" spans="4:48" x14ac:dyDescent="0.3">
      <c r="D399" s="5"/>
      <c r="E399" s="5"/>
      <c r="F399" s="20"/>
      <c r="G399" s="20"/>
      <c r="H399" s="5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</row>
    <row r="400" spans="4:48" x14ac:dyDescent="0.3">
      <c r="D400" s="5"/>
      <c r="E400" s="5"/>
      <c r="F400" s="20"/>
      <c r="G400" s="20"/>
      <c r="H400" s="5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</row>
    <row r="401" spans="4:48" x14ac:dyDescent="0.3">
      <c r="D401" s="5"/>
      <c r="E401" s="5"/>
      <c r="F401" s="20"/>
      <c r="G401" s="20"/>
      <c r="H401" s="5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</row>
    <row r="402" spans="4:48" x14ac:dyDescent="0.3">
      <c r="D402" s="5"/>
      <c r="E402" s="5"/>
      <c r="F402" s="20"/>
      <c r="G402" s="20"/>
      <c r="H402" s="5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</row>
    <row r="403" spans="4:48" x14ac:dyDescent="0.3">
      <c r="D403" s="5"/>
      <c r="E403" s="5"/>
      <c r="F403" s="20"/>
      <c r="G403" s="20"/>
      <c r="H403" s="5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</row>
    <row r="404" spans="4:48" x14ac:dyDescent="0.3">
      <c r="D404" s="5"/>
      <c r="E404" s="5"/>
      <c r="F404" s="20"/>
      <c r="G404" s="20"/>
      <c r="H404" s="5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</row>
    <row r="405" spans="4:48" x14ac:dyDescent="0.3">
      <c r="D405" s="5"/>
      <c r="E405" s="5"/>
      <c r="F405" s="20"/>
      <c r="G405" s="20"/>
      <c r="H405" s="5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</row>
    <row r="406" spans="4:48" x14ac:dyDescent="0.3">
      <c r="D406" s="5"/>
      <c r="E406" s="5"/>
      <c r="F406" s="20"/>
      <c r="G406" s="20"/>
      <c r="H406" s="5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</row>
    <row r="407" spans="4:48" x14ac:dyDescent="0.3">
      <c r="D407" s="5"/>
      <c r="E407" s="5"/>
      <c r="F407" s="20"/>
      <c r="G407" s="20"/>
      <c r="H407" s="5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</row>
    <row r="408" spans="4:48" x14ac:dyDescent="0.3">
      <c r="D408" s="5"/>
      <c r="E408" s="5"/>
      <c r="F408" s="20"/>
      <c r="G408" s="20"/>
      <c r="H408" s="5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</row>
    <row r="409" spans="4:48" x14ac:dyDescent="0.3">
      <c r="D409" s="5"/>
      <c r="E409" s="5"/>
      <c r="F409" s="20"/>
      <c r="G409" s="20"/>
      <c r="H409" s="5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</row>
    <row r="410" spans="4:48" x14ac:dyDescent="0.3">
      <c r="D410" s="5"/>
      <c r="E410" s="5"/>
      <c r="F410" s="20"/>
      <c r="G410" s="20"/>
      <c r="H410" s="5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</row>
    <row r="411" spans="4:48" x14ac:dyDescent="0.3">
      <c r="D411" s="5"/>
      <c r="E411" s="5"/>
      <c r="F411" s="20"/>
      <c r="G411" s="20"/>
      <c r="H411" s="5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</row>
    <row r="412" spans="4:48" x14ac:dyDescent="0.3">
      <c r="D412" s="5"/>
      <c r="E412" s="5"/>
      <c r="F412" s="20"/>
      <c r="G412" s="20"/>
      <c r="H412" s="5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</row>
    <row r="413" spans="4:48" x14ac:dyDescent="0.3">
      <c r="D413" s="5"/>
      <c r="E413" s="5"/>
      <c r="F413" s="20"/>
      <c r="G413" s="20"/>
      <c r="H413" s="5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</row>
    <row r="414" spans="4:48" x14ac:dyDescent="0.3">
      <c r="D414" s="5"/>
      <c r="E414" s="5"/>
      <c r="F414" s="20"/>
      <c r="G414" s="20"/>
      <c r="H414" s="5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</row>
    <row r="415" spans="4:48" x14ac:dyDescent="0.3">
      <c r="D415" s="5"/>
      <c r="E415" s="5"/>
      <c r="F415" s="20"/>
      <c r="G415" s="20"/>
      <c r="H415" s="5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</row>
    <row r="416" spans="4:48" x14ac:dyDescent="0.3">
      <c r="D416" s="5"/>
      <c r="E416" s="5"/>
      <c r="F416" s="20"/>
      <c r="G416" s="20"/>
      <c r="H416" s="5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</row>
    <row r="417" spans="4:48" x14ac:dyDescent="0.3">
      <c r="D417" s="5"/>
      <c r="E417" s="5"/>
      <c r="F417" s="20"/>
      <c r="G417" s="20"/>
      <c r="H417" s="5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</row>
    <row r="418" spans="4:48" x14ac:dyDescent="0.3">
      <c r="D418" s="5"/>
      <c r="E418" s="5"/>
      <c r="F418" s="20"/>
      <c r="G418" s="20"/>
      <c r="H418" s="5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</row>
    <row r="419" spans="4:48" x14ac:dyDescent="0.3">
      <c r="D419" s="5"/>
      <c r="E419" s="5"/>
      <c r="F419" s="20"/>
      <c r="G419" s="20"/>
      <c r="H419" s="5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</row>
    <row r="420" spans="4:48" x14ac:dyDescent="0.3">
      <c r="D420" s="5"/>
      <c r="E420" s="5"/>
      <c r="F420" s="20"/>
      <c r="G420" s="20"/>
      <c r="H420" s="5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</row>
    <row r="421" spans="4:48" x14ac:dyDescent="0.3">
      <c r="D421" s="5"/>
      <c r="E421" s="5"/>
      <c r="F421" s="20"/>
      <c r="G421" s="20"/>
      <c r="H421" s="5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</row>
    <row r="422" spans="4:48" x14ac:dyDescent="0.3">
      <c r="D422" s="5"/>
      <c r="E422" s="5"/>
      <c r="F422" s="20"/>
      <c r="G422" s="20"/>
      <c r="H422" s="5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</row>
    <row r="423" spans="4:48" x14ac:dyDescent="0.3">
      <c r="D423" s="5"/>
      <c r="E423" s="5"/>
      <c r="F423" s="20"/>
      <c r="G423" s="20"/>
      <c r="H423" s="5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</row>
    <row r="424" spans="4:48" x14ac:dyDescent="0.3">
      <c r="D424" s="5"/>
      <c r="E424" s="5"/>
      <c r="F424" s="20"/>
      <c r="G424" s="20"/>
      <c r="H424" s="5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</row>
    <row r="425" spans="4:48" x14ac:dyDescent="0.3">
      <c r="D425" s="5"/>
      <c r="E425" s="5"/>
      <c r="F425" s="20"/>
      <c r="G425" s="20"/>
      <c r="H425" s="5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</row>
    <row r="426" spans="4:48" x14ac:dyDescent="0.3">
      <c r="D426" s="5"/>
      <c r="E426" s="5"/>
      <c r="F426" s="20"/>
      <c r="G426" s="20"/>
      <c r="H426" s="5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</row>
    <row r="427" spans="4:48" x14ac:dyDescent="0.3">
      <c r="D427" s="5"/>
      <c r="E427" s="5"/>
      <c r="F427" s="20"/>
      <c r="G427" s="20"/>
      <c r="H427" s="5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</row>
    <row r="428" spans="4:48" x14ac:dyDescent="0.3">
      <c r="D428" s="5"/>
      <c r="E428" s="5"/>
      <c r="F428" s="20"/>
      <c r="G428" s="20"/>
      <c r="H428" s="5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</row>
    <row r="429" spans="4:48" x14ac:dyDescent="0.3">
      <c r="D429" s="5"/>
      <c r="E429" s="5"/>
      <c r="F429" s="20"/>
      <c r="G429" s="20"/>
      <c r="H429" s="5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</row>
    <row r="430" spans="4:48" x14ac:dyDescent="0.3">
      <c r="D430" s="5"/>
      <c r="E430" s="5"/>
      <c r="F430" s="20"/>
      <c r="G430" s="20"/>
      <c r="H430" s="5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</row>
    <row r="431" spans="4:48" x14ac:dyDescent="0.3">
      <c r="D431" s="5"/>
      <c r="E431" s="5"/>
      <c r="F431" s="20"/>
      <c r="G431" s="20"/>
      <c r="H431" s="5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</row>
    <row r="432" spans="4:48" x14ac:dyDescent="0.3">
      <c r="D432" s="5"/>
      <c r="E432" s="5"/>
      <c r="F432" s="20"/>
      <c r="G432" s="20"/>
      <c r="H432" s="5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</row>
    <row r="433" spans="4:48" x14ac:dyDescent="0.3">
      <c r="D433" s="5"/>
      <c r="E433" s="5"/>
      <c r="F433" s="20"/>
      <c r="G433" s="20"/>
      <c r="H433" s="5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</row>
    <row r="434" spans="4:48" x14ac:dyDescent="0.3">
      <c r="D434" s="5"/>
      <c r="E434" s="5"/>
      <c r="F434" s="20"/>
      <c r="G434" s="20"/>
      <c r="H434" s="5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</row>
    <row r="435" spans="4:48" x14ac:dyDescent="0.3">
      <c r="D435" s="5"/>
      <c r="E435" s="5"/>
      <c r="F435" s="20"/>
      <c r="G435" s="20"/>
      <c r="H435" s="5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</row>
    <row r="436" spans="4:48" x14ac:dyDescent="0.3">
      <c r="D436" s="5"/>
      <c r="E436" s="5"/>
      <c r="F436" s="20"/>
      <c r="G436" s="20"/>
      <c r="H436" s="5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</row>
    <row r="437" spans="4:48" x14ac:dyDescent="0.3">
      <c r="D437" s="5"/>
      <c r="E437" s="5"/>
      <c r="F437" s="20"/>
      <c r="G437" s="20"/>
      <c r="H437" s="5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</row>
    <row r="438" spans="4:48" x14ac:dyDescent="0.3">
      <c r="D438" s="5"/>
      <c r="E438" s="5"/>
      <c r="F438" s="20"/>
      <c r="G438" s="20"/>
      <c r="H438" s="5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</row>
    <row r="439" spans="4:48" x14ac:dyDescent="0.3">
      <c r="D439" s="5"/>
      <c r="E439" s="5"/>
      <c r="F439" s="20"/>
      <c r="G439" s="20"/>
      <c r="H439" s="5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</row>
    <row r="440" spans="4:48" x14ac:dyDescent="0.3">
      <c r="D440" s="5"/>
      <c r="E440" s="5"/>
      <c r="F440" s="20"/>
      <c r="G440" s="20"/>
      <c r="H440" s="5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</row>
    <row r="441" spans="4:48" x14ac:dyDescent="0.3">
      <c r="D441" s="5"/>
      <c r="E441" s="5"/>
      <c r="F441" s="20"/>
      <c r="G441" s="20"/>
      <c r="H441" s="5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</row>
    <row r="442" spans="4:48" x14ac:dyDescent="0.3">
      <c r="D442" s="5"/>
      <c r="E442" s="5"/>
      <c r="F442" s="20"/>
      <c r="G442" s="20"/>
      <c r="H442" s="5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</row>
    <row r="443" spans="4:48" x14ac:dyDescent="0.3">
      <c r="D443" s="5"/>
      <c r="E443" s="5"/>
      <c r="F443" s="20"/>
      <c r="G443" s="20"/>
      <c r="H443" s="5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</row>
    <row r="444" spans="4:48" x14ac:dyDescent="0.3">
      <c r="D444" s="5"/>
      <c r="E444" s="5"/>
      <c r="F444" s="20"/>
      <c r="G444" s="20"/>
      <c r="H444" s="5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</row>
    <row r="445" spans="4:48" x14ac:dyDescent="0.3">
      <c r="D445" s="5"/>
      <c r="E445" s="5"/>
      <c r="F445" s="20"/>
      <c r="G445" s="20"/>
      <c r="H445" s="5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</row>
    <row r="446" spans="4:48" x14ac:dyDescent="0.3">
      <c r="D446" s="5"/>
      <c r="E446" s="5"/>
      <c r="F446" s="20"/>
      <c r="G446" s="20"/>
      <c r="H446" s="5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</row>
    <row r="447" spans="4:48" x14ac:dyDescent="0.3">
      <c r="D447" s="5"/>
      <c r="E447" s="5"/>
      <c r="F447" s="20"/>
      <c r="G447" s="20"/>
      <c r="H447" s="5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</row>
    <row r="448" spans="4:48" x14ac:dyDescent="0.3">
      <c r="D448" s="5"/>
      <c r="E448" s="5"/>
      <c r="F448" s="20"/>
      <c r="G448" s="20"/>
      <c r="H448" s="5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</row>
    <row r="449" spans="4:48" x14ac:dyDescent="0.3">
      <c r="D449" s="5"/>
      <c r="E449" s="5"/>
      <c r="F449" s="20"/>
      <c r="G449" s="20"/>
      <c r="H449" s="5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</row>
    <row r="450" spans="4:48" x14ac:dyDescent="0.3">
      <c r="D450" s="5"/>
      <c r="E450" s="5"/>
      <c r="F450" s="20"/>
      <c r="G450" s="20"/>
      <c r="H450" s="5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</row>
    <row r="451" spans="4:48" x14ac:dyDescent="0.3">
      <c r="D451" s="5"/>
      <c r="E451" s="5"/>
      <c r="F451" s="20"/>
      <c r="G451" s="20"/>
      <c r="H451" s="5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</row>
    <row r="452" spans="4:48" x14ac:dyDescent="0.3">
      <c r="D452" s="5"/>
      <c r="E452" s="5"/>
      <c r="F452" s="20"/>
      <c r="G452" s="20"/>
      <c r="H452" s="5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</row>
    <row r="453" spans="4:48" x14ac:dyDescent="0.3">
      <c r="D453" s="5"/>
      <c r="E453" s="5"/>
      <c r="F453" s="20"/>
      <c r="G453" s="20"/>
      <c r="H453" s="5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</row>
    <row r="454" spans="4:48" x14ac:dyDescent="0.3">
      <c r="D454" s="5"/>
      <c r="E454" s="5"/>
      <c r="F454" s="20"/>
      <c r="G454" s="20"/>
      <c r="H454" s="5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</row>
    <row r="455" spans="4:48" x14ac:dyDescent="0.3">
      <c r="D455" s="5"/>
      <c r="E455" s="5"/>
      <c r="F455" s="20"/>
      <c r="G455" s="20"/>
      <c r="H455" s="5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</row>
    <row r="456" spans="4:48" x14ac:dyDescent="0.3">
      <c r="D456" s="5"/>
      <c r="E456" s="5"/>
      <c r="F456" s="20"/>
      <c r="G456" s="20"/>
      <c r="H456" s="5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</row>
    <row r="457" spans="4:48" x14ac:dyDescent="0.3">
      <c r="D457" s="5"/>
      <c r="E457" s="5"/>
      <c r="F457" s="20"/>
      <c r="G457" s="20"/>
      <c r="H457" s="5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</row>
    <row r="458" spans="4:48" x14ac:dyDescent="0.3">
      <c r="D458" s="5"/>
      <c r="E458" s="5"/>
      <c r="F458" s="20"/>
      <c r="G458" s="20"/>
      <c r="H458" s="5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</row>
    <row r="459" spans="4:48" x14ac:dyDescent="0.3">
      <c r="D459" s="5"/>
      <c r="E459" s="5"/>
      <c r="F459" s="20"/>
      <c r="G459" s="20"/>
      <c r="H459" s="5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</row>
    <row r="460" spans="4:48" x14ac:dyDescent="0.3">
      <c r="D460" s="5"/>
      <c r="E460" s="5"/>
      <c r="F460" s="20"/>
      <c r="G460" s="20"/>
      <c r="H460" s="5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</row>
    <row r="461" spans="4:48" x14ac:dyDescent="0.3">
      <c r="D461" s="5"/>
      <c r="E461" s="5"/>
      <c r="F461" s="20"/>
      <c r="G461" s="20"/>
      <c r="H461" s="5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</row>
    <row r="462" spans="4:48" x14ac:dyDescent="0.3">
      <c r="D462" s="5"/>
      <c r="E462" s="5"/>
      <c r="F462" s="20"/>
      <c r="G462" s="20"/>
      <c r="H462" s="5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</row>
    <row r="463" spans="4:48" x14ac:dyDescent="0.3">
      <c r="D463" s="5"/>
      <c r="E463" s="5"/>
      <c r="F463" s="20"/>
      <c r="G463" s="20"/>
      <c r="H463" s="5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</row>
    <row r="464" spans="4:48" x14ac:dyDescent="0.3">
      <c r="D464" s="5"/>
      <c r="E464" s="5"/>
      <c r="F464" s="20"/>
      <c r="G464" s="20"/>
      <c r="H464" s="5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</row>
    <row r="465" spans="4:48" x14ac:dyDescent="0.3">
      <c r="D465" s="5"/>
      <c r="E465" s="5"/>
      <c r="F465" s="20"/>
      <c r="G465" s="20"/>
      <c r="H465" s="5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</row>
    <row r="466" spans="4:48" x14ac:dyDescent="0.3">
      <c r="D466" s="5"/>
      <c r="E466" s="5"/>
      <c r="F466" s="20"/>
      <c r="G466" s="20"/>
      <c r="H466" s="5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</row>
    <row r="467" spans="4:48" x14ac:dyDescent="0.3">
      <c r="D467" s="5"/>
      <c r="E467" s="5"/>
      <c r="F467" s="20"/>
      <c r="G467" s="20"/>
      <c r="H467" s="5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</row>
    <row r="468" spans="4:48" x14ac:dyDescent="0.3">
      <c r="D468" s="5"/>
      <c r="E468" s="5"/>
      <c r="F468" s="20"/>
      <c r="G468" s="20"/>
      <c r="H468" s="5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</row>
    <row r="469" spans="4:48" x14ac:dyDescent="0.3">
      <c r="D469" s="5"/>
      <c r="E469" s="5"/>
      <c r="F469" s="20"/>
      <c r="G469" s="20"/>
      <c r="H469" s="5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</row>
    <row r="470" spans="4:48" x14ac:dyDescent="0.3">
      <c r="D470" s="5"/>
      <c r="E470" s="5"/>
      <c r="F470" s="20"/>
      <c r="G470" s="20"/>
      <c r="H470" s="5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</row>
    <row r="471" spans="4:48" x14ac:dyDescent="0.3">
      <c r="D471" s="5"/>
      <c r="E471" s="5"/>
      <c r="F471" s="20"/>
      <c r="G471" s="20"/>
      <c r="H471" s="5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</row>
    <row r="472" spans="4:48" x14ac:dyDescent="0.3">
      <c r="D472" s="5"/>
      <c r="E472" s="5"/>
      <c r="F472" s="20"/>
      <c r="G472" s="20"/>
      <c r="H472" s="5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</row>
    <row r="473" spans="4:48" x14ac:dyDescent="0.3">
      <c r="D473" s="5"/>
      <c r="E473" s="5"/>
      <c r="F473" s="20"/>
      <c r="G473" s="20"/>
      <c r="H473" s="5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</row>
    <row r="474" spans="4:48" x14ac:dyDescent="0.3">
      <c r="D474" s="5"/>
      <c r="E474" s="5"/>
      <c r="F474" s="20"/>
      <c r="G474" s="20"/>
      <c r="H474" s="5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</row>
    <row r="475" spans="4:48" x14ac:dyDescent="0.3">
      <c r="D475" s="5"/>
      <c r="E475" s="5"/>
      <c r="F475" s="20"/>
      <c r="G475" s="20"/>
      <c r="H475" s="5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</row>
    <row r="476" spans="4:48" x14ac:dyDescent="0.3">
      <c r="D476" s="5"/>
      <c r="E476" s="5"/>
      <c r="F476" s="20"/>
      <c r="G476" s="20"/>
      <c r="H476" s="5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</row>
    <row r="477" spans="4:48" x14ac:dyDescent="0.3">
      <c r="D477" s="5"/>
      <c r="E477" s="5"/>
      <c r="F477" s="20"/>
      <c r="G477" s="20"/>
      <c r="H477" s="5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</row>
    <row r="478" spans="4:48" x14ac:dyDescent="0.3">
      <c r="D478" s="5"/>
      <c r="E478" s="5"/>
      <c r="F478" s="20"/>
      <c r="G478" s="20"/>
      <c r="H478" s="5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</row>
    <row r="479" spans="4:48" x14ac:dyDescent="0.3">
      <c r="D479" s="5"/>
      <c r="E479" s="5"/>
      <c r="F479" s="20"/>
      <c r="G479" s="20"/>
      <c r="H479" s="5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</row>
    <row r="480" spans="4:48" x14ac:dyDescent="0.3">
      <c r="D480" s="5"/>
      <c r="E480" s="5"/>
      <c r="F480" s="20"/>
      <c r="G480" s="20"/>
      <c r="H480" s="5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</row>
    <row r="481" spans="4:48" x14ac:dyDescent="0.3">
      <c r="D481" s="5"/>
      <c r="E481" s="5"/>
      <c r="F481" s="20"/>
      <c r="G481" s="20"/>
      <c r="H481" s="5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</row>
    <row r="482" spans="4:48" x14ac:dyDescent="0.3">
      <c r="D482" s="5"/>
      <c r="E482" s="5"/>
      <c r="F482" s="20"/>
      <c r="G482" s="20"/>
      <c r="H482" s="5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</row>
    <row r="483" spans="4:48" x14ac:dyDescent="0.3">
      <c r="D483" s="5"/>
      <c r="E483" s="5"/>
      <c r="F483" s="20"/>
      <c r="G483" s="20"/>
      <c r="H483" s="5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</row>
    <row r="484" spans="4:48" x14ac:dyDescent="0.3">
      <c r="D484" s="5"/>
      <c r="E484" s="5"/>
      <c r="F484" s="20"/>
      <c r="G484" s="20"/>
      <c r="H484" s="5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</row>
    <row r="485" spans="4:48" x14ac:dyDescent="0.3">
      <c r="D485" s="5"/>
      <c r="E485" s="5"/>
      <c r="F485" s="20"/>
      <c r="G485" s="20"/>
      <c r="H485" s="5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</row>
    <row r="486" spans="4:48" x14ac:dyDescent="0.3">
      <c r="D486" s="5"/>
      <c r="E486" s="5"/>
      <c r="F486" s="20"/>
      <c r="G486" s="20"/>
      <c r="H486" s="5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</row>
    <row r="487" spans="4:48" x14ac:dyDescent="0.3">
      <c r="D487" s="5"/>
      <c r="E487" s="5"/>
      <c r="F487" s="20"/>
      <c r="G487" s="20"/>
      <c r="H487" s="5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</row>
    <row r="488" spans="4:48" x14ac:dyDescent="0.3">
      <c r="D488" s="5"/>
      <c r="E488" s="5"/>
      <c r="F488" s="20"/>
      <c r="G488" s="20"/>
      <c r="H488" s="5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</row>
    <row r="489" spans="4:48" x14ac:dyDescent="0.3">
      <c r="D489" s="5"/>
      <c r="E489" s="5"/>
      <c r="F489" s="20"/>
      <c r="G489" s="20"/>
      <c r="H489" s="5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</row>
    <row r="490" spans="4:48" x14ac:dyDescent="0.3">
      <c r="D490" s="5"/>
      <c r="E490" s="5"/>
      <c r="F490" s="20"/>
      <c r="G490" s="20"/>
      <c r="H490" s="5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</row>
    <row r="491" spans="4:48" x14ac:dyDescent="0.3">
      <c r="D491" s="5"/>
      <c r="E491" s="5"/>
      <c r="F491" s="20"/>
      <c r="G491" s="20"/>
      <c r="H491" s="5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</row>
    <row r="492" spans="4:48" x14ac:dyDescent="0.3">
      <c r="D492" s="5"/>
      <c r="E492" s="5"/>
      <c r="F492" s="20"/>
      <c r="G492" s="20"/>
      <c r="H492" s="5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</row>
    <row r="493" spans="4:48" x14ac:dyDescent="0.3">
      <c r="D493" s="5"/>
      <c r="E493" s="5"/>
      <c r="F493" s="20"/>
      <c r="G493" s="20"/>
      <c r="H493" s="5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</row>
    <row r="494" spans="4:48" x14ac:dyDescent="0.3">
      <c r="D494" s="5"/>
      <c r="E494" s="5"/>
      <c r="F494" s="20"/>
      <c r="G494" s="20"/>
      <c r="H494" s="5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</row>
    <row r="495" spans="4:48" x14ac:dyDescent="0.3">
      <c r="D495" s="5"/>
      <c r="E495" s="5"/>
      <c r="F495" s="20"/>
      <c r="G495" s="20"/>
      <c r="H495" s="5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</row>
    <row r="496" spans="4:48" x14ac:dyDescent="0.3">
      <c r="D496" s="5"/>
      <c r="E496" s="5"/>
      <c r="F496" s="20"/>
      <c r="G496" s="20"/>
      <c r="H496" s="5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</row>
    <row r="497" spans="4:48" x14ac:dyDescent="0.3">
      <c r="D497" s="5"/>
      <c r="E497" s="5"/>
      <c r="F497" s="20"/>
      <c r="G497" s="20"/>
      <c r="H497" s="5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</row>
    <row r="498" spans="4:48" x14ac:dyDescent="0.3">
      <c r="D498" s="5"/>
      <c r="E498" s="5"/>
      <c r="F498" s="20"/>
      <c r="G498" s="20"/>
      <c r="H498" s="5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</row>
    <row r="499" spans="4:48" x14ac:dyDescent="0.3">
      <c r="D499" s="5"/>
      <c r="E499" s="5"/>
      <c r="F499" s="20"/>
      <c r="G499" s="20"/>
      <c r="H499" s="5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</row>
    <row r="500" spans="4:48" x14ac:dyDescent="0.3">
      <c r="D500" s="5"/>
      <c r="E500" s="5"/>
      <c r="F500" s="20"/>
      <c r="G500" s="20"/>
      <c r="H500" s="5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</row>
    <row r="501" spans="4:48" x14ac:dyDescent="0.3">
      <c r="D501" s="5"/>
      <c r="E501" s="5"/>
      <c r="F501" s="20"/>
      <c r="G501" s="20"/>
      <c r="H501" s="5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</row>
    <row r="502" spans="4:48" x14ac:dyDescent="0.3">
      <c r="D502" s="5"/>
      <c r="E502" s="5"/>
      <c r="F502" s="20"/>
      <c r="G502" s="20"/>
      <c r="H502" s="5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</row>
    <row r="503" spans="4:48" x14ac:dyDescent="0.3">
      <c r="D503" s="5"/>
      <c r="E503" s="5"/>
      <c r="F503" s="20"/>
      <c r="G503" s="20"/>
      <c r="H503" s="5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</row>
    <row r="504" spans="4:48" x14ac:dyDescent="0.3">
      <c r="D504" s="5"/>
      <c r="E504" s="5"/>
      <c r="F504" s="20"/>
      <c r="G504" s="20"/>
      <c r="H504" s="5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</row>
    <row r="505" spans="4:48" x14ac:dyDescent="0.3">
      <c r="D505" s="5"/>
      <c r="E505" s="5"/>
      <c r="F505" s="20"/>
      <c r="G505" s="20"/>
      <c r="H505" s="5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</row>
    <row r="506" spans="4:48" x14ac:dyDescent="0.3">
      <c r="D506" s="5"/>
      <c r="E506" s="5"/>
      <c r="F506" s="20"/>
      <c r="G506" s="20"/>
      <c r="H506" s="5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</row>
    <row r="507" spans="4:48" x14ac:dyDescent="0.3">
      <c r="D507" s="5"/>
      <c r="E507" s="5"/>
      <c r="F507" s="20"/>
      <c r="G507" s="20"/>
      <c r="H507" s="5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</row>
    <row r="508" spans="4:48" x14ac:dyDescent="0.3">
      <c r="D508" s="5"/>
      <c r="E508" s="5"/>
      <c r="F508" s="20"/>
      <c r="G508" s="20"/>
      <c r="H508" s="5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</row>
    <row r="509" spans="4:48" x14ac:dyDescent="0.3">
      <c r="D509" s="5"/>
      <c r="E509" s="5"/>
      <c r="F509" s="20"/>
      <c r="G509" s="20"/>
      <c r="H509" s="5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</row>
    <row r="510" spans="4:48" x14ac:dyDescent="0.3">
      <c r="D510" s="5"/>
      <c r="E510" s="5"/>
      <c r="F510" s="20"/>
      <c r="G510" s="20"/>
      <c r="H510" s="5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</row>
    <row r="511" spans="4:48" x14ac:dyDescent="0.3">
      <c r="D511" s="5"/>
      <c r="E511" s="5"/>
      <c r="F511" s="20"/>
      <c r="G511" s="20"/>
      <c r="H511" s="5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</row>
    <row r="512" spans="4:48" x14ac:dyDescent="0.3">
      <c r="D512" s="5"/>
      <c r="E512" s="5"/>
      <c r="F512" s="20"/>
      <c r="G512" s="20"/>
      <c r="H512" s="5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</row>
    <row r="513" spans="4:48" x14ac:dyDescent="0.3">
      <c r="D513" s="5"/>
      <c r="E513" s="5"/>
      <c r="F513" s="20"/>
      <c r="G513" s="20"/>
      <c r="H513" s="5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</row>
    <row r="514" spans="4:48" x14ac:dyDescent="0.3">
      <c r="D514" s="5"/>
      <c r="E514" s="5"/>
      <c r="F514" s="20"/>
      <c r="G514" s="20"/>
      <c r="H514" s="5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</row>
    <row r="515" spans="4:48" x14ac:dyDescent="0.3">
      <c r="D515" s="5"/>
      <c r="E515" s="5"/>
      <c r="F515" s="20"/>
      <c r="G515" s="20"/>
      <c r="H515" s="5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</row>
    <row r="516" spans="4:48" x14ac:dyDescent="0.3">
      <c r="D516" s="5"/>
      <c r="E516" s="5"/>
      <c r="F516" s="20"/>
      <c r="G516" s="20"/>
      <c r="H516" s="5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</row>
    <row r="517" spans="4:48" x14ac:dyDescent="0.3">
      <c r="D517" s="5"/>
      <c r="E517" s="5"/>
      <c r="F517" s="20"/>
      <c r="G517" s="20"/>
      <c r="H517" s="5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</row>
    <row r="518" spans="4:48" x14ac:dyDescent="0.3">
      <c r="D518" s="5"/>
      <c r="E518" s="5"/>
      <c r="F518" s="20"/>
      <c r="G518" s="20"/>
      <c r="H518" s="5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</row>
    <row r="519" spans="4:48" x14ac:dyDescent="0.3">
      <c r="D519" s="5"/>
      <c r="E519" s="5"/>
      <c r="F519" s="20"/>
      <c r="G519" s="20"/>
      <c r="H519" s="5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</row>
    <row r="520" spans="4:48" x14ac:dyDescent="0.3">
      <c r="D520" s="5"/>
      <c r="E520" s="5"/>
      <c r="F520" s="20"/>
      <c r="G520" s="20"/>
      <c r="H520" s="5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</row>
    <row r="521" spans="4:48" x14ac:dyDescent="0.3">
      <c r="D521" s="5"/>
      <c r="E521" s="5"/>
      <c r="F521" s="20"/>
      <c r="G521" s="20"/>
      <c r="H521" s="5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</row>
    <row r="522" spans="4:48" x14ac:dyDescent="0.3">
      <c r="D522" s="5"/>
      <c r="E522" s="5"/>
      <c r="F522" s="20"/>
      <c r="G522" s="20"/>
      <c r="H522" s="5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</row>
    <row r="523" spans="4:48" x14ac:dyDescent="0.3">
      <c r="D523" s="5"/>
      <c r="E523" s="5"/>
      <c r="F523" s="20"/>
      <c r="G523" s="20"/>
      <c r="H523" s="5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</row>
    <row r="524" spans="4:48" x14ac:dyDescent="0.3">
      <c r="D524" s="5"/>
      <c r="E524" s="5"/>
      <c r="F524" s="20"/>
      <c r="G524" s="20"/>
      <c r="H524" s="5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</row>
    <row r="525" spans="4:48" x14ac:dyDescent="0.3">
      <c r="D525" s="5"/>
      <c r="E525" s="5"/>
      <c r="F525" s="20"/>
      <c r="G525" s="20"/>
      <c r="H525" s="5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</row>
    <row r="526" spans="4:48" x14ac:dyDescent="0.3">
      <c r="D526" s="5"/>
      <c r="E526" s="5"/>
      <c r="F526" s="20"/>
      <c r="G526" s="20"/>
      <c r="H526" s="5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</row>
    <row r="527" spans="4:48" x14ac:dyDescent="0.3">
      <c r="D527" s="5"/>
      <c r="E527" s="5"/>
      <c r="F527" s="20"/>
      <c r="G527" s="20"/>
      <c r="H527" s="5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</row>
    <row r="528" spans="4:48" x14ac:dyDescent="0.3">
      <c r="D528" s="5"/>
      <c r="E528" s="5"/>
      <c r="F528" s="20"/>
      <c r="G528" s="20"/>
      <c r="H528" s="5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</row>
    <row r="529" spans="4:48" x14ac:dyDescent="0.3">
      <c r="D529" s="5"/>
      <c r="E529" s="5"/>
      <c r="F529" s="20"/>
      <c r="G529" s="20"/>
      <c r="H529" s="5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</row>
    <row r="530" spans="4:48" x14ac:dyDescent="0.3">
      <c r="D530" s="5"/>
      <c r="E530" s="5"/>
      <c r="F530" s="20"/>
      <c r="G530" s="20"/>
      <c r="H530" s="5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</row>
    <row r="531" spans="4:48" x14ac:dyDescent="0.3">
      <c r="D531" s="5"/>
      <c r="E531" s="5"/>
      <c r="F531" s="20"/>
      <c r="G531" s="20"/>
      <c r="H531" s="5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</row>
    <row r="532" spans="4:48" x14ac:dyDescent="0.3">
      <c r="D532" s="5"/>
      <c r="E532" s="5"/>
      <c r="F532" s="20"/>
      <c r="G532" s="20"/>
      <c r="H532" s="5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</row>
    <row r="533" spans="4:48" x14ac:dyDescent="0.3">
      <c r="D533" s="5"/>
      <c r="E533" s="5"/>
      <c r="F533" s="20"/>
      <c r="G533" s="20"/>
      <c r="H533" s="5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</row>
    <row r="534" spans="4:48" x14ac:dyDescent="0.3">
      <c r="D534" s="5"/>
      <c r="E534" s="5"/>
      <c r="F534" s="20"/>
      <c r="G534" s="20"/>
      <c r="H534" s="5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</row>
    <row r="535" spans="4:48" x14ac:dyDescent="0.3">
      <c r="D535" s="5"/>
      <c r="E535" s="5"/>
      <c r="F535" s="20"/>
      <c r="G535" s="20"/>
      <c r="H535" s="5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</row>
    <row r="536" spans="4:48" x14ac:dyDescent="0.3">
      <c r="D536" s="5"/>
      <c r="E536" s="5"/>
      <c r="F536" s="20"/>
      <c r="G536" s="20"/>
      <c r="H536" s="5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</row>
    <row r="537" spans="4:48" x14ac:dyDescent="0.3">
      <c r="D537" s="5"/>
      <c r="E537" s="5"/>
      <c r="F537" s="20"/>
      <c r="G537" s="20"/>
      <c r="H537" s="5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</row>
    <row r="538" spans="4:48" x14ac:dyDescent="0.3">
      <c r="D538" s="5"/>
      <c r="E538" s="5"/>
      <c r="F538" s="20"/>
      <c r="G538" s="20"/>
      <c r="H538" s="5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</row>
    <row r="539" spans="4:48" x14ac:dyDescent="0.3">
      <c r="D539" s="5"/>
      <c r="E539" s="5"/>
      <c r="F539" s="20"/>
      <c r="G539" s="20"/>
      <c r="H539" s="5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</row>
    <row r="540" spans="4:48" x14ac:dyDescent="0.3">
      <c r="D540" s="5"/>
      <c r="E540" s="5"/>
      <c r="F540" s="20"/>
      <c r="G540" s="20"/>
      <c r="H540" s="5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</row>
    <row r="541" spans="4:48" x14ac:dyDescent="0.3">
      <c r="D541" s="5"/>
      <c r="E541" s="5"/>
      <c r="F541" s="20"/>
      <c r="G541" s="20"/>
      <c r="H541" s="5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</row>
    <row r="542" spans="4:48" x14ac:dyDescent="0.3">
      <c r="D542" s="5"/>
      <c r="E542" s="5"/>
      <c r="F542" s="20"/>
      <c r="G542" s="20"/>
      <c r="H542" s="5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</row>
    <row r="543" spans="4:48" x14ac:dyDescent="0.3">
      <c r="D543" s="5"/>
      <c r="E543" s="5"/>
      <c r="F543" s="20"/>
      <c r="G543" s="20"/>
      <c r="H543" s="5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</row>
    <row r="544" spans="4:48" x14ac:dyDescent="0.3">
      <c r="D544" s="5"/>
      <c r="E544" s="5"/>
      <c r="F544" s="20"/>
      <c r="G544" s="20"/>
      <c r="H544" s="5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</row>
    <row r="545" spans="4:48" x14ac:dyDescent="0.3">
      <c r="D545" s="5"/>
      <c r="E545" s="5"/>
      <c r="F545" s="20"/>
      <c r="G545" s="20"/>
      <c r="H545" s="5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</row>
    <row r="546" spans="4:48" x14ac:dyDescent="0.3">
      <c r="D546" s="5"/>
      <c r="E546" s="5"/>
      <c r="F546" s="20"/>
      <c r="G546" s="20"/>
      <c r="H546" s="5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</row>
    <row r="547" spans="4:48" x14ac:dyDescent="0.3">
      <c r="D547" s="5"/>
      <c r="E547" s="5"/>
      <c r="F547" s="20"/>
      <c r="G547" s="20"/>
      <c r="H547" s="5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</row>
    <row r="548" spans="4:48" x14ac:dyDescent="0.3">
      <c r="D548" s="5"/>
      <c r="E548" s="5"/>
      <c r="F548" s="20"/>
      <c r="G548" s="20"/>
      <c r="H548" s="5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</row>
    <row r="549" spans="4:48" x14ac:dyDescent="0.3">
      <c r="D549" s="5"/>
      <c r="E549" s="5"/>
      <c r="F549" s="20"/>
      <c r="G549" s="20"/>
      <c r="H549" s="5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</row>
    <row r="550" spans="4:48" x14ac:dyDescent="0.3">
      <c r="D550" s="5"/>
      <c r="E550" s="5"/>
      <c r="F550" s="20"/>
      <c r="G550" s="20"/>
      <c r="H550" s="5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</row>
    <row r="551" spans="4:48" x14ac:dyDescent="0.3">
      <c r="D551" s="5"/>
      <c r="E551" s="5"/>
      <c r="F551" s="20"/>
      <c r="G551" s="20"/>
      <c r="H551" s="5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</row>
    <row r="552" spans="4:48" x14ac:dyDescent="0.3">
      <c r="D552" s="5"/>
      <c r="E552" s="5"/>
      <c r="F552" s="20"/>
      <c r="G552" s="20"/>
      <c r="H552" s="5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</row>
    <row r="553" spans="4:48" x14ac:dyDescent="0.3">
      <c r="D553" s="5"/>
      <c r="E553" s="5"/>
      <c r="F553" s="20"/>
      <c r="G553" s="20"/>
      <c r="H553" s="5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</row>
    <row r="554" spans="4:48" x14ac:dyDescent="0.3">
      <c r="D554" s="5"/>
      <c r="E554" s="5"/>
      <c r="F554" s="20"/>
      <c r="G554" s="20"/>
      <c r="H554" s="5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</row>
    <row r="555" spans="4:48" x14ac:dyDescent="0.3">
      <c r="D555" s="5"/>
      <c r="E555" s="5"/>
      <c r="F555" s="20"/>
      <c r="G555" s="20"/>
      <c r="H555" s="5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</row>
    <row r="556" spans="4:48" x14ac:dyDescent="0.3">
      <c r="D556" s="5"/>
      <c r="E556" s="5"/>
      <c r="F556" s="20"/>
      <c r="G556" s="20"/>
      <c r="H556" s="5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</row>
    <row r="557" spans="4:48" x14ac:dyDescent="0.3">
      <c r="D557" s="5"/>
      <c r="E557" s="5"/>
      <c r="F557" s="20"/>
      <c r="G557" s="20"/>
      <c r="H557" s="5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</row>
    <row r="558" spans="4:48" x14ac:dyDescent="0.3">
      <c r="D558" s="5"/>
      <c r="E558" s="5"/>
      <c r="F558" s="20"/>
      <c r="G558" s="20"/>
      <c r="H558" s="5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</row>
    <row r="559" spans="4:48" x14ac:dyDescent="0.3">
      <c r="D559" s="5"/>
      <c r="E559" s="5"/>
      <c r="F559" s="20"/>
      <c r="G559" s="20"/>
      <c r="H559" s="5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</row>
    <row r="560" spans="4:48" x14ac:dyDescent="0.3">
      <c r="D560" s="5"/>
      <c r="E560" s="5"/>
      <c r="F560" s="20"/>
      <c r="G560" s="20"/>
      <c r="H560" s="5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</row>
    <row r="561" spans="4:48" x14ac:dyDescent="0.3">
      <c r="D561" s="5"/>
      <c r="E561" s="5"/>
      <c r="F561" s="20"/>
      <c r="G561" s="20"/>
      <c r="H561" s="5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</row>
    <row r="562" spans="4:48" x14ac:dyDescent="0.3">
      <c r="D562" s="5"/>
      <c r="E562" s="5"/>
      <c r="F562" s="20"/>
      <c r="G562" s="20"/>
      <c r="H562" s="5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</row>
    <row r="563" spans="4:48" x14ac:dyDescent="0.3">
      <c r="D563" s="5"/>
      <c r="E563" s="5"/>
      <c r="F563" s="20"/>
      <c r="G563" s="20"/>
      <c r="H563" s="5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</row>
    <row r="564" spans="4:48" x14ac:dyDescent="0.3">
      <c r="D564" s="5"/>
      <c r="E564" s="5"/>
      <c r="F564" s="20"/>
      <c r="G564" s="20"/>
      <c r="H564" s="5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</row>
    <row r="565" spans="4:48" x14ac:dyDescent="0.3">
      <c r="D565" s="5"/>
      <c r="E565" s="5"/>
      <c r="F565" s="20"/>
      <c r="G565" s="20"/>
      <c r="H565" s="5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</row>
    <row r="566" spans="4:48" x14ac:dyDescent="0.3">
      <c r="D566" s="5"/>
      <c r="E566" s="5"/>
      <c r="F566" s="20"/>
      <c r="G566" s="20"/>
      <c r="H566" s="5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</row>
    <row r="567" spans="4:48" x14ac:dyDescent="0.3">
      <c r="D567" s="5"/>
      <c r="E567" s="5"/>
      <c r="F567" s="20"/>
      <c r="G567" s="20"/>
      <c r="H567" s="5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</row>
    <row r="568" spans="4:48" x14ac:dyDescent="0.3">
      <c r="D568" s="5"/>
      <c r="E568" s="5"/>
      <c r="F568" s="20"/>
      <c r="G568" s="20"/>
      <c r="H568" s="5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</row>
    <row r="569" spans="4:48" x14ac:dyDescent="0.3">
      <c r="D569" s="5"/>
      <c r="E569" s="5"/>
      <c r="F569" s="20"/>
      <c r="G569" s="20"/>
      <c r="H569" s="5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</row>
    <row r="570" spans="4:48" x14ac:dyDescent="0.3">
      <c r="D570" s="5"/>
      <c r="E570" s="5"/>
      <c r="F570" s="20"/>
      <c r="G570" s="20"/>
      <c r="H570" s="5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</row>
    <row r="571" spans="4:48" x14ac:dyDescent="0.3">
      <c r="D571" s="5"/>
      <c r="E571" s="5"/>
      <c r="F571" s="20"/>
      <c r="G571" s="20"/>
      <c r="H571" s="5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</row>
    <row r="572" spans="4:48" x14ac:dyDescent="0.3">
      <c r="D572" s="5"/>
      <c r="E572" s="5"/>
      <c r="F572" s="20"/>
      <c r="G572" s="20"/>
      <c r="H572" s="5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</row>
    <row r="573" spans="4:48" x14ac:dyDescent="0.3">
      <c r="D573" s="5"/>
      <c r="E573" s="5"/>
      <c r="F573" s="20"/>
      <c r="G573" s="20"/>
      <c r="H573" s="5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</row>
    <row r="574" spans="4:48" x14ac:dyDescent="0.3">
      <c r="D574" s="5"/>
      <c r="E574" s="5"/>
      <c r="F574" s="20"/>
      <c r="G574" s="20"/>
      <c r="H574" s="5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</row>
    <row r="575" spans="4:48" x14ac:dyDescent="0.3">
      <c r="D575" s="5"/>
      <c r="E575" s="5"/>
      <c r="F575" s="20"/>
      <c r="G575" s="20"/>
      <c r="H575" s="5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</row>
    <row r="576" spans="4:48" x14ac:dyDescent="0.3">
      <c r="D576" s="5"/>
      <c r="E576" s="5"/>
      <c r="F576" s="20"/>
      <c r="G576" s="20"/>
      <c r="H576" s="5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</row>
    <row r="577" spans="4:48" x14ac:dyDescent="0.3">
      <c r="D577" s="5"/>
      <c r="E577" s="5"/>
      <c r="F577" s="20"/>
      <c r="G577" s="20"/>
      <c r="H577" s="5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</row>
    <row r="578" spans="4:48" x14ac:dyDescent="0.3">
      <c r="D578" s="5"/>
      <c r="E578" s="5"/>
      <c r="F578" s="20"/>
      <c r="G578" s="20"/>
      <c r="H578" s="5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</row>
    <row r="579" spans="4:48" x14ac:dyDescent="0.3">
      <c r="D579" s="5"/>
      <c r="E579" s="5"/>
      <c r="F579" s="20"/>
      <c r="G579" s="20"/>
      <c r="H579" s="5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</row>
    <row r="580" spans="4:48" x14ac:dyDescent="0.3">
      <c r="D580" s="5"/>
      <c r="E580" s="5"/>
      <c r="F580" s="20"/>
      <c r="G580" s="20"/>
      <c r="H580" s="5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</row>
    <row r="581" spans="4:48" x14ac:dyDescent="0.3">
      <c r="D581" s="5"/>
      <c r="E581" s="5"/>
      <c r="F581" s="20"/>
      <c r="G581" s="20"/>
      <c r="H581" s="5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</row>
    <row r="582" spans="4:48" x14ac:dyDescent="0.3">
      <c r="D582" s="5"/>
      <c r="E582" s="5"/>
      <c r="F582" s="20"/>
      <c r="G582" s="20"/>
      <c r="H582" s="5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</row>
    <row r="583" spans="4:48" x14ac:dyDescent="0.3">
      <c r="D583" s="5"/>
      <c r="E583" s="5"/>
      <c r="F583" s="20"/>
      <c r="G583" s="20"/>
      <c r="H583" s="5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</row>
    <row r="584" spans="4:48" x14ac:dyDescent="0.3">
      <c r="D584" s="5"/>
      <c r="E584" s="5"/>
      <c r="F584" s="20"/>
      <c r="G584" s="20"/>
      <c r="H584" s="5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</row>
    <row r="585" spans="4:48" x14ac:dyDescent="0.3">
      <c r="D585" s="5"/>
      <c r="E585" s="5"/>
      <c r="F585" s="20"/>
      <c r="G585" s="20"/>
      <c r="H585" s="5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</row>
    <row r="586" spans="4:48" x14ac:dyDescent="0.3">
      <c r="D586" s="5"/>
      <c r="E586" s="5"/>
      <c r="F586" s="20"/>
      <c r="G586" s="20"/>
      <c r="H586" s="5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</row>
    <row r="587" spans="4:48" x14ac:dyDescent="0.3">
      <c r="D587" s="5"/>
      <c r="E587" s="5"/>
      <c r="F587" s="20"/>
      <c r="G587" s="20"/>
      <c r="H587" s="5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</row>
    <row r="588" spans="4:48" x14ac:dyDescent="0.3">
      <c r="D588" s="5"/>
      <c r="E588" s="5"/>
      <c r="F588" s="20"/>
      <c r="G588" s="20"/>
      <c r="H588" s="5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</row>
    <row r="589" spans="4:48" x14ac:dyDescent="0.3">
      <c r="D589" s="5"/>
      <c r="E589" s="5"/>
      <c r="F589" s="20"/>
      <c r="G589" s="20"/>
      <c r="H589" s="5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</row>
    <row r="590" spans="4:48" x14ac:dyDescent="0.3">
      <c r="D590" s="5"/>
      <c r="E590" s="5"/>
      <c r="F590" s="20"/>
      <c r="G590" s="20"/>
      <c r="H590" s="5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</row>
    <row r="591" spans="4:48" x14ac:dyDescent="0.3">
      <c r="D591" s="5"/>
      <c r="E591" s="5"/>
      <c r="F591" s="20"/>
      <c r="G591" s="20"/>
      <c r="H591" s="5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</row>
    <row r="592" spans="4:48" x14ac:dyDescent="0.3">
      <c r="D592" s="5"/>
      <c r="E592" s="5"/>
      <c r="F592" s="20"/>
      <c r="G592" s="20"/>
      <c r="H592" s="5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</row>
    <row r="593" spans="4:48" x14ac:dyDescent="0.3">
      <c r="D593" s="5"/>
      <c r="E593" s="5"/>
      <c r="F593" s="20"/>
      <c r="G593" s="20"/>
      <c r="H593" s="5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</row>
    <row r="594" spans="4:48" x14ac:dyDescent="0.3">
      <c r="D594" s="5"/>
      <c r="E594" s="5"/>
      <c r="F594" s="20"/>
      <c r="G594" s="20"/>
      <c r="H594" s="5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</row>
    <row r="595" spans="4:48" x14ac:dyDescent="0.3">
      <c r="D595" s="5"/>
      <c r="E595" s="5"/>
      <c r="F595" s="20"/>
      <c r="G595" s="20"/>
      <c r="H595" s="5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</row>
    <row r="596" spans="4:48" x14ac:dyDescent="0.3">
      <c r="D596" s="5"/>
      <c r="E596" s="5"/>
      <c r="F596" s="20"/>
      <c r="G596" s="20"/>
      <c r="H596" s="5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</row>
    <row r="597" spans="4:48" x14ac:dyDescent="0.3">
      <c r="D597" s="5"/>
      <c r="E597" s="5"/>
      <c r="F597" s="20"/>
      <c r="G597" s="20"/>
      <c r="H597" s="5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</row>
    <row r="598" spans="4:48" x14ac:dyDescent="0.3">
      <c r="D598" s="5"/>
      <c r="E598" s="5"/>
      <c r="F598" s="20"/>
      <c r="G598" s="20"/>
      <c r="H598" s="5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</row>
    <row r="599" spans="4:48" x14ac:dyDescent="0.3">
      <c r="D599" s="5"/>
      <c r="E599" s="5"/>
      <c r="F599" s="20"/>
      <c r="G599" s="20"/>
      <c r="H599" s="5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</row>
    <row r="600" spans="4:48" x14ac:dyDescent="0.3">
      <c r="D600" s="5"/>
      <c r="E600" s="5"/>
      <c r="F600" s="20"/>
      <c r="G600" s="20"/>
      <c r="H600" s="5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</row>
    <row r="601" spans="4:48" x14ac:dyDescent="0.3">
      <c r="D601" s="5"/>
      <c r="E601" s="5"/>
      <c r="F601" s="20"/>
      <c r="G601" s="20"/>
      <c r="H601" s="5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</row>
    <row r="602" spans="4:48" x14ac:dyDescent="0.3">
      <c r="D602" s="5"/>
      <c r="E602" s="5"/>
      <c r="F602" s="20"/>
      <c r="G602" s="20"/>
      <c r="H602" s="5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</row>
    <row r="603" spans="4:48" x14ac:dyDescent="0.3">
      <c r="D603" s="5"/>
      <c r="E603" s="5"/>
      <c r="F603" s="20"/>
      <c r="G603" s="20"/>
      <c r="H603" s="5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</row>
    <row r="604" spans="4:48" x14ac:dyDescent="0.3">
      <c r="D604" s="5"/>
      <c r="E604" s="5"/>
      <c r="F604" s="20"/>
      <c r="G604" s="20"/>
      <c r="H604" s="5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</row>
    <row r="605" spans="4:48" x14ac:dyDescent="0.3">
      <c r="D605" s="5"/>
      <c r="E605" s="5"/>
      <c r="F605" s="20"/>
      <c r="G605" s="20"/>
      <c r="H605" s="5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</row>
    <row r="606" spans="4:48" x14ac:dyDescent="0.3">
      <c r="D606" s="5"/>
      <c r="E606" s="5"/>
      <c r="F606" s="20"/>
      <c r="G606" s="20"/>
      <c r="H606" s="5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</row>
    <row r="607" spans="4:48" x14ac:dyDescent="0.3">
      <c r="D607" s="5"/>
      <c r="E607" s="5"/>
      <c r="F607" s="20"/>
      <c r="G607" s="20"/>
      <c r="H607" s="5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</row>
    <row r="608" spans="4:48" x14ac:dyDescent="0.3">
      <c r="D608" s="5"/>
      <c r="E608" s="5"/>
      <c r="F608" s="20"/>
      <c r="G608" s="20"/>
      <c r="H608" s="5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</row>
    <row r="609" spans="4:48" x14ac:dyDescent="0.3">
      <c r="D609" s="5"/>
      <c r="E609" s="5"/>
      <c r="F609" s="20"/>
      <c r="G609" s="20"/>
      <c r="H609" s="5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</row>
    <row r="610" spans="4:48" x14ac:dyDescent="0.3">
      <c r="D610" s="5"/>
      <c r="E610" s="5"/>
      <c r="F610" s="20"/>
      <c r="G610" s="20"/>
      <c r="H610" s="5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</row>
    <row r="611" spans="4:48" x14ac:dyDescent="0.3">
      <c r="D611" s="5"/>
      <c r="E611" s="5"/>
      <c r="F611" s="20"/>
      <c r="G611" s="20"/>
      <c r="H611" s="5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</row>
    <row r="612" spans="4:48" x14ac:dyDescent="0.3">
      <c r="D612" s="5"/>
      <c r="E612" s="5"/>
      <c r="F612" s="20"/>
      <c r="G612" s="20"/>
      <c r="H612" s="5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</row>
    <row r="613" spans="4:48" x14ac:dyDescent="0.3">
      <c r="D613" s="5"/>
      <c r="E613" s="5"/>
      <c r="F613" s="20"/>
      <c r="G613" s="20"/>
      <c r="H613" s="5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</row>
    <row r="614" spans="4:48" x14ac:dyDescent="0.3">
      <c r="D614" s="5"/>
      <c r="E614" s="5"/>
      <c r="F614" s="20"/>
      <c r="G614" s="20"/>
      <c r="H614" s="5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</row>
    <row r="615" spans="4:48" x14ac:dyDescent="0.3">
      <c r="D615" s="5"/>
      <c r="E615" s="5"/>
      <c r="F615" s="20"/>
      <c r="G615" s="20"/>
      <c r="H615" s="5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</row>
    <row r="616" spans="4:48" x14ac:dyDescent="0.3">
      <c r="D616" s="5"/>
      <c r="E616" s="5"/>
      <c r="F616" s="20"/>
      <c r="G616" s="20"/>
      <c r="H616" s="5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</row>
    <row r="617" spans="4:48" x14ac:dyDescent="0.3">
      <c r="D617" s="5"/>
      <c r="E617" s="5"/>
      <c r="F617" s="20"/>
      <c r="G617" s="20"/>
      <c r="H617" s="5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</row>
    <row r="618" spans="4:48" x14ac:dyDescent="0.3">
      <c r="D618" s="5"/>
      <c r="E618" s="5"/>
      <c r="F618" s="20"/>
      <c r="G618" s="20"/>
      <c r="H618" s="5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</row>
    <row r="619" spans="4:48" x14ac:dyDescent="0.3">
      <c r="D619" s="5"/>
      <c r="E619" s="5"/>
      <c r="F619" s="20"/>
      <c r="G619" s="20"/>
      <c r="H619" s="5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</row>
    <row r="620" spans="4:48" x14ac:dyDescent="0.3">
      <c r="D620" s="5"/>
      <c r="E620" s="5"/>
      <c r="F620" s="20"/>
      <c r="G620" s="20"/>
      <c r="H620" s="5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</row>
    <row r="621" spans="4:48" x14ac:dyDescent="0.3">
      <c r="D621" s="5"/>
      <c r="E621" s="5"/>
      <c r="F621" s="20"/>
      <c r="G621" s="20"/>
      <c r="H621" s="5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</row>
    <row r="622" spans="4:48" x14ac:dyDescent="0.3">
      <c r="D622" s="5"/>
      <c r="E622" s="5"/>
      <c r="F622" s="20"/>
      <c r="G622" s="20"/>
      <c r="H622" s="5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</row>
    <row r="623" spans="4:48" x14ac:dyDescent="0.3">
      <c r="D623" s="5"/>
      <c r="E623" s="5"/>
      <c r="F623" s="20"/>
      <c r="G623" s="20"/>
      <c r="H623" s="5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</row>
    <row r="624" spans="4:48" x14ac:dyDescent="0.3">
      <c r="D624" s="5"/>
      <c r="E624" s="5"/>
      <c r="F624" s="20"/>
      <c r="G624" s="20"/>
      <c r="H624" s="5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</row>
    <row r="625" spans="4:48" x14ac:dyDescent="0.3">
      <c r="D625" s="5"/>
      <c r="E625" s="5"/>
      <c r="F625" s="20"/>
      <c r="G625" s="20"/>
      <c r="H625" s="5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</row>
    <row r="626" spans="4:48" x14ac:dyDescent="0.3">
      <c r="D626" s="5"/>
      <c r="E626" s="5"/>
      <c r="F626" s="20"/>
      <c r="G626" s="20"/>
      <c r="H626" s="5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</row>
    <row r="627" spans="4:48" x14ac:dyDescent="0.3">
      <c r="D627" s="5"/>
      <c r="E627" s="5"/>
      <c r="F627" s="20"/>
      <c r="G627" s="20"/>
      <c r="H627" s="5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</row>
    <row r="628" spans="4:48" x14ac:dyDescent="0.3">
      <c r="D628" s="5"/>
      <c r="E628" s="5"/>
      <c r="F628" s="20"/>
      <c r="G628" s="20"/>
      <c r="H628" s="5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</row>
    <row r="629" spans="4:48" x14ac:dyDescent="0.3">
      <c r="D629" s="5"/>
      <c r="E629" s="5"/>
      <c r="F629" s="20"/>
      <c r="G629" s="20"/>
      <c r="H629" s="5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</row>
    <row r="630" spans="4:48" x14ac:dyDescent="0.3">
      <c r="D630" s="5"/>
      <c r="E630" s="5"/>
      <c r="F630" s="20"/>
      <c r="G630" s="20"/>
      <c r="H630" s="5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</row>
    <row r="631" spans="4:48" x14ac:dyDescent="0.3">
      <c r="D631" s="5"/>
      <c r="E631" s="5"/>
      <c r="F631" s="20"/>
      <c r="G631" s="20"/>
      <c r="H631" s="5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</row>
    <row r="632" spans="4:48" x14ac:dyDescent="0.3">
      <c r="D632" s="5"/>
      <c r="E632" s="5"/>
      <c r="F632" s="20"/>
      <c r="G632" s="20"/>
      <c r="H632" s="5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</row>
    <row r="633" spans="4:48" x14ac:dyDescent="0.3">
      <c r="D633" s="5"/>
      <c r="E633" s="5"/>
      <c r="F633" s="20"/>
      <c r="G633" s="20"/>
      <c r="H633" s="5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</row>
    <row r="634" spans="4:48" x14ac:dyDescent="0.3">
      <c r="D634" s="5"/>
      <c r="E634" s="5"/>
      <c r="F634" s="20"/>
      <c r="G634" s="20"/>
      <c r="H634" s="5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</row>
    <row r="635" spans="4:48" x14ac:dyDescent="0.3">
      <c r="D635" s="5"/>
      <c r="E635" s="5"/>
      <c r="F635" s="20"/>
      <c r="G635" s="20"/>
      <c r="H635" s="5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</row>
    <row r="636" spans="4:48" x14ac:dyDescent="0.3">
      <c r="D636" s="5"/>
      <c r="E636" s="5"/>
      <c r="F636" s="20"/>
      <c r="G636" s="20"/>
      <c r="H636" s="5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</row>
    <row r="637" spans="4:48" x14ac:dyDescent="0.3">
      <c r="D637" s="5"/>
      <c r="E637" s="5"/>
      <c r="F637" s="20"/>
      <c r="G637" s="20"/>
      <c r="H637" s="5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</row>
    <row r="638" spans="4:48" x14ac:dyDescent="0.3">
      <c r="D638" s="5"/>
      <c r="E638" s="5"/>
      <c r="F638" s="20"/>
      <c r="G638" s="20"/>
      <c r="H638" s="5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</row>
    <row r="639" spans="4:48" x14ac:dyDescent="0.3">
      <c r="D639" s="5"/>
      <c r="E639" s="5"/>
      <c r="F639" s="20"/>
      <c r="G639" s="20"/>
      <c r="H639" s="5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</row>
    <row r="640" spans="4:48" x14ac:dyDescent="0.3">
      <c r="D640" s="5"/>
      <c r="E640" s="5"/>
      <c r="F640" s="20"/>
      <c r="G640" s="20"/>
      <c r="H640" s="5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</row>
    <row r="641" spans="4:48" x14ac:dyDescent="0.3">
      <c r="D641" s="5"/>
      <c r="E641" s="5"/>
      <c r="F641" s="20"/>
      <c r="G641" s="20"/>
      <c r="H641" s="5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</row>
    <row r="642" spans="4:48" x14ac:dyDescent="0.3">
      <c r="D642" s="5"/>
      <c r="E642" s="5"/>
      <c r="F642" s="20"/>
      <c r="G642" s="20"/>
      <c r="H642" s="5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</row>
    <row r="643" spans="4:48" x14ac:dyDescent="0.3">
      <c r="D643" s="5"/>
      <c r="E643" s="5"/>
      <c r="F643" s="20"/>
      <c r="G643" s="20"/>
      <c r="H643" s="5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</row>
    <row r="644" spans="4:48" x14ac:dyDescent="0.3">
      <c r="D644" s="5"/>
      <c r="E644" s="5"/>
      <c r="F644" s="20"/>
      <c r="G644" s="20"/>
      <c r="H644" s="5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</row>
    <row r="645" spans="4:48" x14ac:dyDescent="0.3">
      <c r="D645" s="5"/>
      <c r="E645" s="5"/>
      <c r="F645" s="20"/>
      <c r="G645" s="20"/>
      <c r="H645" s="5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</row>
    <row r="646" spans="4:48" x14ac:dyDescent="0.3">
      <c r="D646" s="5"/>
      <c r="E646" s="5"/>
      <c r="F646" s="20"/>
      <c r="G646" s="20"/>
      <c r="H646" s="5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</row>
    <row r="647" spans="4:48" x14ac:dyDescent="0.3">
      <c r="D647" s="5"/>
      <c r="E647" s="5"/>
      <c r="F647" s="20"/>
      <c r="G647" s="20"/>
      <c r="H647" s="5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</row>
    <row r="648" spans="4:48" x14ac:dyDescent="0.3">
      <c r="D648" s="5"/>
      <c r="E648" s="5"/>
      <c r="F648" s="20"/>
      <c r="G648" s="20"/>
      <c r="H648" s="5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</row>
    <row r="649" spans="4:48" x14ac:dyDescent="0.3">
      <c r="D649" s="5"/>
      <c r="E649" s="5"/>
      <c r="F649" s="20"/>
      <c r="G649" s="20"/>
      <c r="H649" s="5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</row>
    <row r="650" spans="4:48" x14ac:dyDescent="0.3">
      <c r="D650" s="5"/>
      <c r="E650" s="5"/>
      <c r="F650" s="20"/>
      <c r="G650" s="20"/>
      <c r="H650" s="5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</row>
    <row r="651" spans="4:48" x14ac:dyDescent="0.3">
      <c r="D651" s="5"/>
      <c r="E651" s="5"/>
      <c r="F651" s="20"/>
      <c r="G651" s="20"/>
      <c r="H651" s="5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</row>
    <row r="652" spans="4:48" x14ac:dyDescent="0.3">
      <c r="D652" s="5"/>
      <c r="E652" s="5"/>
      <c r="F652" s="20"/>
      <c r="G652" s="20"/>
      <c r="H652" s="5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</row>
    <row r="653" spans="4:48" x14ac:dyDescent="0.3">
      <c r="D653" s="5"/>
      <c r="E653" s="5"/>
      <c r="F653" s="20"/>
      <c r="G653" s="20"/>
      <c r="H653" s="5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</row>
    <row r="654" spans="4:48" x14ac:dyDescent="0.3">
      <c r="D654" s="5"/>
      <c r="E654" s="5"/>
      <c r="F654" s="20"/>
      <c r="G654" s="20"/>
      <c r="H654" s="5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</row>
    <row r="655" spans="4:48" x14ac:dyDescent="0.3">
      <c r="D655" s="5"/>
      <c r="E655" s="5"/>
      <c r="F655" s="20"/>
      <c r="G655" s="20"/>
      <c r="H655" s="5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</row>
    <row r="656" spans="4:48" x14ac:dyDescent="0.3">
      <c r="D656" s="5"/>
      <c r="E656" s="5"/>
      <c r="F656" s="20"/>
      <c r="G656" s="20"/>
      <c r="H656" s="5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</row>
    <row r="657" spans="4:48" x14ac:dyDescent="0.3">
      <c r="D657" s="5"/>
      <c r="E657" s="5"/>
      <c r="F657" s="20"/>
      <c r="G657" s="20"/>
      <c r="H657" s="5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</row>
    <row r="658" spans="4:48" x14ac:dyDescent="0.3">
      <c r="D658" s="5"/>
      <c r="E658" s="5"/>
      <c r="F658" s="20"/>
      <c r="G658" s="20"/>
      <c r="H658" s="5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</row>
    <row r="659" spans="4:48" x14ac:dyDescent="0.3">
      <c r="D659" s="5"/>
      <c r="E659" s="5"/>
      <c r="F659" s="20"/>
      <c r="G659" s="20"/>
      <c r="H659" s="5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</row>
    <row r="660" spans="4:48" x14ac:dyDescent="0.3">
      <c r="D660" s="5"/>
      <c r="E660" s="5"/>
      <c r="F660" s="20"/>
      <c r="G660" s="20"/>
      <c r="H660" s="5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</row>
    <row r="661" spans="4:48" x14ac:dyDescent="0.3">
      <c r="D661" s="5"/>
      <c r="E661" s="5"/>
      <c r="F661" s="20"/>
      <c r="G661" s="20"/>
      <c r="H661" s="5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</row>
    <row r="662" spans="4:48" x14ac:dyDescent="0.3">
      <c r="D662" s="5"/>
      <c r="E662" s="5"/>
      <c r="F662" s="20"/>
      <c r="G662" s="20"/>
      <c r="H662" s="5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</row>
    <row r="663" spans="4:48" x14ac:dyDescent="0.3">
      <c r="D663" s="5"/>
      <c r="E663" s="5"/>
      <c r="F663" s="20"/>
      <c r="G663" s="20"/>
      <c r="H663" s="5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</row>
    <row r="664" spans="4:48" x14ac:dyDescent="0.3">
      <c r="D664" s="5"/>
      <c r="E664" s="5"/>
      <c r="F664" s="20"/>
      <c r="G664" s="20"/>
      <c r="H664" s="5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</row>
    <row r="665" spans="4:48" x14ac:dyDescent="0.3">
      <c r="D665" s="5"/>
      <c r="E665" s="5"/>
      <c r="F665" s="20"/>
      <c r="G665" s="20"/>
      <c r="H665" s="5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</row>
    <row r="666" spans="4:48" x14ac:dyDescent="0.3">
      <c r="D666" s="5"/>
      <c r="E666" s="5"/>
      <c r="F666" s="20"/>
      <c r="G666" s="20"/>
      <c r="H666" s="5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</row>
    <row r="667" spans="4:48" x14ac:dyDescent="0.3">
      <c r="D667" s="5"/>
      <c r="E667" s="5"/>
      <c r="F667" s="20"/>
      <c r="G667" s="20"/>
      <c r="H667" s="5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</row>
    <row r="668" spans="4:48" x14ac:dyDescent="0.3">
      <c r="D668" s="5"/>
      <c r="E668" s="5"/>
      <c r="F668" s="20"/>
      <c r="G668" s="20"/>
      <c r="H668" s="5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</row>
    <row r="669" spans="4:48" x14ac:dyDescent="0.3">
      <c r="D669" s="5"/>
      <c r="E669" s="5"/>
      <c r="F669" s="20"/>
      <c r="G669" s="20"/>
      <c r="H669" s="5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</row>
    <row r="670" spans="4:48" x14ac:dyDescent="0.3">
      <c r="D670" s="5"/>
      <c r="E670" s="5"/>
      <c r="F670" s="20"/>
      <c r="G670" s="20"/>
      <c r="H670" s="5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</row>
    <row r="671" spans="4:48" x14ac:dyDescent="0.3">
      <c r="D671" s="5"/>
      <c r="E671" s="5"/>
      <c r="F671" s="20"/>
      <c r="G671" s="20"/>
      <c r="H671" s="5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</row>
    <row r="672" spans="4:48" x14ac:dyDescent="0.3">
      <c r="D672" s="5"/>
      <c r="E672" s="5"/>
      <c r="F672" s="20"/>
      <c r="G672" s="20"/>
      <c r="H672" s="5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</row>
    <row r="673" spans="4:48" x14ac:dyDescent="0.3">
      <c r="D673" s="5"/>
      <c r="E673" s="5"/>
      <c r="F673" s="20"/>
      <c r="G673" s="20"/>
      <c r="H673" s="5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</row>
    <row r="674" spans="4:48" x14ac:dyDescent="0.3">
      <c r="D674" s="5"/>
      <c r="E674" s="5"/>
      <c r="F674" s="20"/>
      <c r="G674" s="20"/>
      <c r="H674" s="5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</row>
    <row r="675" spans="4:48" x14ac:dyDescent="0.3">
      <c r="D675" s="5"/>
      <c r="E675" s="5"/>
      <c r="F675" s="20"/>
      <c r="G675" s="20"/>
      <c r="H675" s="5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</row>
    <row r="676" spans="4:48" x14ac:dyDescent="0.3">
      <c r="D676" s="5"/>
      <c r="E676" s="5"/>
      <c r="F676" s="20"/>
      <c r="G676" s="20"/>
      <c r="H676" s="5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</row>
    <row r="677" spans="4:48" x14ac:dyDescent="0.3">
      <c r="D677" s="5"/>
      <c r="E677" s="5"/>
      <c r="F677" s="20"/>
      <c r="G677" s="20"/>
      <c r="H677" s="5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</row>
    <row r="678" spans="4:48" x14ac:dyDescent="0.3">
      <c r="D678" s="5"/>
      <c r="E678" s="5"/>
      <c r="F678" s="20"/>
      <c r="G678" s="20"/>
      <c r="H678" s="5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</row>
    <row r="679" spans="4:48" x14ac:dyDescent="0.3">
      <c r="D679" s="5"/>
      <c r="E679" s="5"/>
      <c r="F679" s="20"/>
      <c r="G679" s="20"/>
      <c r="H679" s="5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</row>
    <row r="680" spans="4:48" x14ac:dyDescent="0.3">
      <c r="D680" s="5"/>
      <c r="E680" s="5"/>
      <c r="F680" s="20"/>
      <c r="G680" s="20"/>
      <c r="H680" s="5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</row>
    <row r="681" spans="4:48" x14ac:dyDescent="0.3">
      <c r="D681" s="5"/>
      <c r="E681" s="5"/>
      <c r="F681" s="20"/>
      <c r="G681" s="20"/>
      <c r="H681" s="5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</row>
    <row r="682" spans="4:48" x14ac:dyDescent="0.3">
      <c r="D682" s="5"/>
      <c r="E682" s="5"/>
      <c r="F682" s="20"/>
      <c r="G682" s="20"/>
      <c r="H682" s="5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</row>
    <row r="683" spans="4:48" x14ac:dyDescent="0.3">
      <c r="D683" s="5"/>
      <c r="E683" s="5"/>
      <c r="F683" s="20"/>
      <c r="G683" s="20"/>
      <c r="H683" s="5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</row>
    <row r="684" spans="4:48" x14ac:dyDescent="0.3">
      <c r="D684" s="5"/>
      <c r="E684" s="5"/>
      <c r="F684" s="20"/>
      <c r="G684" s="20"/>
      <c r="H684" s="5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</row>
    <row r="685" spans="4:48" x14ac:dyDescent="0.3">
      <c r="D685" s="5"/>
      <c r="E685" s="5"/>
      <c r="F685" s="20"/>
      <c r="G685" s="20"/>
      <c r="H685" s="5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</row>
    <row r="686" spans="4:48" x14ac:dyDescent="0.3">
      <c r="D686" s="5"/>
      <c r="E686" s="5"/>
      <c r="F686" s="20"/>
      <c r="G686" s="20"/>
      <c r="H686" s="5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</row>
    <row r="687" spans="4:48" x14ac:dyDescent="0.3">
      <c r="D687" s="5"/>
      <c r="E687" s="5"/>
      <c r="F687" s="20"/>
      <c r="G687" s="20"/>
      <c r="H687" s="5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</row>
    <row r="688" spans="4:48" x14ac:dyDescent="0.3">
      <c r="D688" s="5"/>
      <c r="E688" s="5"/>
      <c r="F688" s="20"/>
      <c r="G688" s="20"/>
      <c r="H688" s="5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</row>
    <row r="689" spans="4:48" x14ac:dyDescent="0.3">
      <c r="D689" s="5"/>
      <c r="E689" s="5"/>
      <c r="F689" s="20"/>
      <c r="G689" s="20"/>
      <c r="H689" s="5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</row>
    <row r="690" spans="4:48" x14ac:dyDescent="0.3">
      <c r="D690" s="5"/>
      <c r="E690" s="5"/>
      <c r="F690" s="20"/>
      <c r="G690" s="20"/>
      <c r="H690" s="5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</row>
    <row r="691" spans="4:48" x14ac:dyDescent="0.3">
      <c r="D691" s="5"/>
      <c r="E691" s="5"/>
      <c r="F691" s="20"/>
      <c r="G691" s="20"/>
      <c r="H691" s="5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</row>
    <row r="692" spans="4:48" x14ac:dyDescent="0.3">
      <c r="D692" s="5"/>
      <c r="E692" s="5"/>
      <c r="F692" s="20"/>
      <c r="G692" s="20"/>
      <c r="H692" s="5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</row>
    <row r="693" spans="4:48" x14ac:dyDescent="0.3">
      <c r="D693" s="5"/>
      <c r="E693" s="5"/>
      <c r="F693" s="20"/>
      <c r="G693" s="20"/>
      <c r="H693" s="5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</row>
    <row r="694" spans="4:48" x14ac:dyDescent="0.3">
      <c r="D694" s="5"/>
      <c r="E694" s="5"/>
      <c r="F694" s="20"/>
      <c r="G694" s="20"/>
      <c r="H694" s="5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</row>
    <row r="695" spans="4:48" x14ac:dyDescent="0.3">
      <c r="D695" s="5"/>
      <c r="E695" s="5"/>
      <c r="F695" s="20"/>
      <c r="G695" s="20"/>
      <c r="H695" s="5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</row>
    <row r="696" spans="4:48" x14ac:dyDescent="0.3">
      <c r="D696" s="5"/>
      <c r="E696" s="5"/>
      <c r="F696" s="20"/>
      <c r="G696" s="20"/>
      <c r="H696" s="5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</row>
    <row r="697" spans="4:48" x14ac:dyDescent="0.3">
      <c r="D697" s="5"/>
      <c r="E697" s="5"/>
      <c r="F697" s="20"/>
      <c r="G697" s="20"/>
      <c r="H697" s="5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</row>
    <row r="698" spans="4:48" x14ac:dyDescent="0.3">
      <c r="D698" s="5"/>
      <c r="E698" s="5"/>
      <c r="F698" s="20"/>
      <c r="G698" s="20"/>
      <c r="H698" s="5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</row>
    <row r="699" spans="4:48" x14ac:dyDescent="0.3">
      <c r="D699" s="5"/>
      <c r="E699" s="5"/>
      <c r="F699" s="20"/>
      <c r="G699" s="20"/>
      <c r="H699" s="5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</row>
    <row r="700" spans="4:48" x14ac:dyDescent="0.3">
      <c r="D700" s="5"/>
      <c r="E700" s="5"/>
      <c r="F700" s="20"/>
      <c r="G700" s="20"/>
      <c r="H700" s="5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</row>
    <row r="701" spans="4:48" x14ac:dyDescent="0.3">
      <c r="D701" s="5"/>
      <c r="E701" s="5"/>
      <c r="F701" s="20"/>
      <c r="G701" s="20"/>
      <c r="H701" s="5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</row>
    <row r="702" spans="4:48" x14ac:dyDescent="0.3">
      <c r="D702" s="5"/>
      <c r="E702" s="5"/>
      <c r="F702" s="20"/>
      <c r="G702" s="20"/>
      <c r="H702" s="5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</row>
    <row r="703" spans="4:48" x14ac:dyDescent="0.3">
      <c r="D703" s="5"/>
      <c r="E703" s="5"/>
      <c r="F703" s="20"/>
      <c r="G703" s="20"/>
      <c r="H703" s="5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</row>
    <row r="704" spans="4:48" x14ac:dyDescent="0.3">
      <c r="D704" s="5"/>
      <c r="E704" s="5"/>
      <c r="F704" s="20"/>
      <c r="G704" s="20"/>
      <c r="H704" s="5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</row>
    <row r="705" spans="4:48" x14ac:dyDescent="0.3">
      <c r="D705" s="5"/>
      <c r="E705" s="5"/>
      <c r="F705" s="20"/>
      <c r="G705" s="20"/>
      <c r="H705" s="5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</row>
    <row r="706" spans="4:48" x14ac:dyDescent="0.3">
      <c r="D706" s="5"/>
      <c r="E706" s="5"/>
      <c r="F706" s="20"/>
      <c r="G706" s="20"/>
      <c r="H706" s="5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</row>
    <row r="707" spans="4:48" x14ac:dyDescent="0.3">
      <c r="D707" s="5"/>
      <c r="E707" s="5"/>
      <c r="F707" s="20"/>
      <c r="G707" s="20"/>
      <c r="H707" s="5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</row>
    <row r="708" spans="4:48" x14ac:dyDescent="0.3">
      <c r="D708" s="5"/>
      <c r="E708" s="5"/>
      <c r="F708" s="20"/>
      <c r="G708" s="20"/>
      <c r="H708" s="5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</row>
    <row r="709" spans="4:48" x14ac:dyDescent="0.3">
      <c r="D709" s="5"/>
      <c r="E709" s="5"/>
      <c r="F709" s="20"/>
      <c r="G709" s="20"/>
      <c r="H709" s="5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</row>
    <row r="710" spans="4:48" x14ac:dyDescent="0.3">
      <c r="D710" s="5"/>
      <c r="E710" s="5"/>
      <c r="F710" s="20"/>
      <c r="G710" s="20"/>
      <c r="H710" s="5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</row>
    <row r="711" spans="4:48" x14ac:dyDescent="0.3">
      <c r="D711" s="5"/>
      <c r="E711" s="5"/>
      <c r="F711" s="20"/>
      <c r="G711" s="20"/>
      <c r="H711" s="5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</row>
    <row r="712" spans="4:48" x14ac:dyDescent="0.3">
      <c r="D712" s="5"/>
      <c r="E712" s="5"/>
      <c r="F712" s="20"/>
      <c r="G712" s="20"/>
      <c r="H712" s="5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</row>
    <row r="713" spans="4:48" x14ac:dyDescent="0.3">
      <c r="D713" s="5"/>
      <c r="E713" s="5"/>
      <c r="F713" s="20"/>
      <c r="G713" s="20"/>
      <c r="H713" s="5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</row>
    <row r="714" spans="4:48" x14ac:dyDescent="0.3">
      <c r="D714" s="5"/>
      <c r="E714" s="5"/>
      <c r="F714" s="20"/>
      <c r="G714" s="20"/>
      <c r="H714" s="5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</row>
    <row r="715" spans="4:48" x14ac:dyDescent="0.3">
      <c r="D715" s="5"/>
      <c r="E715" s="5"/>
      <c r="F715" s="20"/>
      <c r="G715" s="20"/>
      <c r="H715" s="5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</row>
    <row r="716" spans="4:48" x14ac:dyDescent="0.3">
      <c r="D716" s="5"/>
      <c r="E716" s="5"/>
      <c r="F716" s="20"/>
      <c r="G716" s="20"/>
      <c r="H716" s="5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</row>
    <row r="717" spans="4:48" x14ac:dyDescent="0.3">
      <c r="D717" s="5"/>
      <c r="E717" s="5"/>
      <c r="F717" s="20"/>
      <c r="G717" s="20"/>
      <c r="H717" s="5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</row>
    <row r="718" spans="4:48" x14ac:dyDescent="0.3">
      <c r="D718" s="5"/>
      <c r="E718" s="5"/>
      <c r="F718" s="20"/>
      <c r="G718" s="20"/>
      <c r="H718" s="5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</row>
    <row r="719" spans="4:48" x14ac:dyDescent="0.3">
      <c r="D719" s="5"/>
      <c r="E719" s="5"/>
      <c r="F719" s="20"/>
      <c r="G719" s="20"/>
      <c r="H719" s="5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</row>
    <row r="720" spans="4:48" x14ac:dyDescent="0.3">
      <c r="D720" s="5"/>
      <c r="E720" s="5"/>
      <c r="F720" s="20"/>
      <c r="G720" s="20"/>
      <c r="H720" s="5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</row>
    <row r="721" spans="4:48" x14ac:dyDescent="0.3">
      <c r="D721" s="5"/>
      <c r="E721" s="5"/>
      <c r="F721" s="20"/>
      <c r="G721" s="20"/>
      <c r="H721" s="5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</row>
    <row r="722" spans="4:48" x14ac:dyDescent="0.3">
      <c r="D722" s="5"/>
      <c r="E722" s="5"/>
      <c r="F722" s="20"/>
      <c r="G722" s="20"/>
      <c r="H722" s="5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</row>
    <row r="723" spans="4:48" x14ac:dyDescent="0.3">
      <c r="D723" s="5"/>
      <c r="E723" s="5"/>
      <c r="F723" s="20"/>
      <c r="G723" s="20"/>
      <c r="H723" s="5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</row>
    <row r="724" spans="4:48" x14ac:dyDescent="0.3">
      <c r="D724" s="5"/>
      <c r="E724" s="5"/>
      <c r="F724" s="20"/>
      <c r="G724" s="20"/>
      <c r="H724" s="5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</row>
    <row r="725" spans="4:48" x14ac:dyDescent="0.3">
      <c r="D725" s="5"/>
      <c r="E725" s="5"/>
      <c r="F725" s="20"/>
      <c r="G725" s="20"/>
      <c r="H725" s="5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</row>
    <row r="726" spans="4:48" x14ac:dyDescent="0.3">
      <c r="D726" s="5"/>
      <c r="E726" s="5"/>
      <c r="F726" s="20"/>
      <c r="G726" s="20"/>
      <c r="H726" s="5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</row>
    <row r="727" spans="4:48" x14ac:dyDescent="0.3">
      <c r="D727" s="5"/>
      <c r="E727" s="5"/>
      <c r="F727" s="20"/>
      <c r="G727" s="20"/>
      <c r="H727" s="5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</row>
    <row r="728" spans="4:48" x14ac:dyDescent="0.3">
      <c r="D728" s="5"/>
      <c r="E728" s="5"/>
      <c r="F728" s="20"/>
      <c r="G728" s="20"/>
      <c r="H728" s="5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</row>
    <row r="729" spans="4:48" x14ac:dyDescent="0.3">
      <c r="D729" s="5"/>
      <c r="E729" s="5"/>
      <c r="F729" s="20"/>
      <c r="G729" s="20"/>
      <c r="H729" s="5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</row>
    <row r="730" spans="4:48" x14ac:dyDescent="0.3">
      <c r="D730" s="5"/>
      <c r="E730" s="5"/>
      <c r="F730" s="20"/>
      <c r="G730" s="20"/>
      <c r="H730" s="5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</row>
    <row r="731" spans="4:48" x14ac:dyDescent="0.3">
      <c r="D731" s="5"/>
      <c r="E731" s="5"/>
      <c r="F731" s="20"/>
      <c r="G731" s="20"/>
      <c r="H731" s="5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</row>
    <row r="732" spans="4:48" x14ac:dyDescent="0.3">
      <c r="D732" s="5"/>
      <c r="E732" s="5"/>
      <c r="F732" s="20"/>
      <c r="G732" s="20"/>
      <c r="H732" s="5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</row>
    <row r="733" spans="4:48" x14ac:dyDescent="0.3">
      <c r="D733" s="5"/>
      <c r="E733" s="5"/>
      <c r="F733" s="20"/>
      <c r="G733" s="20"/>
      <c r="H733" s="5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</row>
    <row r="734" spans="4:48" x14ac:dyDescent="0.3">
      <c r="D734" s="5"/>
      <c r="E734" s="5"/>
      <c r="F734" s="20"/>
      <c r="G734" s="20"/>
      <c r="H734" s="5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</row>
    <row r="735" spans="4:48" x14ac:dyDescent="0.3">
      <c r="D735" s="5"/>
      <c r="E735" s="5"/>
      <c r="F735" s="20"/>
      <c r="G735" s="20"/>
      <c r="H735" s="5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</row>
    <row r="736" spans="4:48" x14ac:dyDescent="0.3">
      <c r="D736" s="5"/>
      <c r="E736" s="5"/>
      <c r="F736" s="20"/>
      <c r="G736" s="20"/>
      <c r="H736" s="5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</row>
    <row r="737" spans="4:48" x14ac:dyDescent="0.3">
      <c r="D737" s="5"/>
      <c r="E737" s="5"/>
      <c r="F737" s="20"/>
      <c r="G737" s="20"/>
      <c r="H737" s="5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</row>
    <row r="738" spans="4:48" x14ac:dyDescent="0.3">
      <c r="D738" s="5"/>
      <c r="E738" s="5"/>
      <c r="F738" s="20"/>
      <c r="G738" s="20"/>
      <c r="H738" s="5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</row>
    <row r="739" spans="4:48" x14ac:dyDescent="0.3">
      <c r="D739" s="5"/>
      <c r="E739" s="5"/>
      <c r="F739" s="20"/>
      <c r="G739" s="20"/>
      <c r="H739" s="5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</row>
    <row r="740" spans="4:48" x14ac:dyDescent="0.3">
      <c r="D740" s="5"/>
      <c r="E740" s="5"/>
      <c r="F740" s="20"/>
      <c r="G740" s="20"/>
      <c r="H740" s="5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</row>
    <row r="741" spans="4:48" x14ac:dyDescent="0.3">
      <c r="D741" s="5"/>
      <c r="E741" s="5"/>
      <c r="F741" s="20"/>
      <c r="G741" s="20"/>
      <c r="H741" s="5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</row>
    <row r="742" spans="4:48" x14ac:dyDescent="0.3">
      <c r="D742" s="5"/>
      <c r="E742" s="5"/>
      <c r="F742" s="20"/>
      <c r="G742" s="20"/>
      <c r="H742" s="5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</row>
    <row r="743" spans="4:48" x14ac:dyDescent="0.3">
      <c r="D743" s="5"/>
      <c r="E743" s="5"/>
      <c r="F743" s="20"/>
      <c r="G743" s="20"/>
      <c r="H743" s="5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</row>
    <row r="744" spans="4:48" x14ac:dyDescent="0.3">
      <c r="D744" s="5"/>
      <c r="E744" s="5"/>
      <c r="F744" s="20"/>
      <c r="G744" s="20"/>
      <c r="H744" s="5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</row>
    <row r="745" spans="4:48" x14ac:dyDescent="0.3">
      <c r="D745" s="5"/>
      <c r="E745" s="5"/>
      <c r="F745" s="20"/>
      <c r="G745" s="20"/>
      <c r="H745" s="5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</row>
    <row r="746" spans="4:48" x14ac:dyDescent="0.3">
      <c r="D746" s="5"/>
      <c r="E746" s="5"/>
      <c r="F746" s="20"/>
      <c r="G746" s="20"/>
      <c r="H746" s="5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</row>
    <row r="747" spans="4:48" x14ac:dyDescent="0.3">
      <c r="D747" s="5"/>
      <c r="E747" s="5"/>
      <c r="F747" s="20"/>
      <c r="G747" s="20"/>
      <c r="H747" s="5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</row>
    <row r="748" spans="4:48" x14ac:dyDescent="0.3">
      <c r="D748" s="5"/>
      <c r="E748" s="5"/>
      <c r="F748" s="20"/>
      <c r="G748" s="20"/>
      <c r="H748" s="5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</row>
    <row r="749" spans="4:48" x14ac:dyDescent="0.3">
      <c r="D749" s="5"/>
      <c r="E749" s="5"/>
      <c r="F749" s="20"/>
      <c r="G749" s="20"/>
      <c r="H749" s="5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</row>
    <row r="750" spans="4:48" x14ac:dyDescent="0.3">
      <c r="D750" s="5"/>
      <c r="E750" s="5"/>
      <c r="F750" s="20"/>
      <c r="G750" s="20"/>
      <c r="H750" s="5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</row>
    <row r="751" spans="4:48" x14ac:dyDescent="0.3">
      <c r="D751" s="5"/>
      <c r="E751" s="5"/>
      <c r="F751" s="20"/>
      <c r="G751" s="20"/>
      <c r="H751" s="5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</row>
    <row r="752" spans="4:48" x14ac:dyDescent="0.3">
      <c r="D752" s="5"/>
      <c r="E752" s="5"/>
      <c r="F752" s="20"/>
      <c r="G752" s="20"/>
      <c r="H752" s="5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</row>
    <row r="753" spans="4:48" x14ac:dyDescent="0.3">
      <c r="D753" s="5"/>
      <c r="E753" s="5"/>
      <c r="F753" s="20"/>
      <c r="G753" s="20"/>
      <c r="H753" s="5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</row>
    <row r="754" spans="4:48" x14ac:dyDescent="0.3">
      <c r="D754" s="5"/>
      <c r="E754" s="5"/>
      <c r="F754" s="20"/>
      <c r="G754" s="20"/>
      <c r="H754" s="5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</row>
    <row r="755" spans="4:48" x14ac:dyDescent="0.3">
      <c r="D755" s="5"/>
      <c r="E755" s="5"/>
      <c r="F755" s="20"/>
      <c r="G755" s="20"/>
      <c r="H755" s="5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</row>
    <row r="756" spans="4:48" x14ac:dyDescent="0.3">
      <c r="D756" s="5"/>
      <c r="E756" s="5"/>
      <c r="F756" s="20"/>
      <c r="G756" s="20"/>
      <c r="H756" s="5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</row>
    <row r="757" spans="4:48" x14ac:dyDescent="0.3">
      <c r="D757" s="5"/>
      <c r="E757" s="5"/>
      <c r="F757" s="20"/>
      <c r="G757" s="20"/>
      <c r="H757" s="5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</row>
    <row r="758" spans="4:48" x14ac:dyDescent="0.3">
      <c r="D758" s="5"/>
      <c r="E758" s="5"/>
      <c r="F758" s="20"/>
      <c r="G758" s="20"/>
      <c r="H758" s="5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</row>
    <row r="759" spans="4:48" x14ac:dyDescent="0.3">
      <c r="D759" s="5"/>
      <c r="E759" s="5"/>
      <c r="F759" s="20"/>
      <c r="G759" s="20"/>
      <c r="H759" s="5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</row>
    <row r="760" spans="4:48" x14ac:dyDescent="0.3">
      <c r="D760" s="5"/>
      <c r="E760" s="5"/>
      <c r="F760" s="20"/>
      <c r="G760" s="20"/>
      <c r="H760" s="5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</row>
    <row r="761" spans="4:48" x14ac:dyDescent="0.3">
      <c r="D761" s="5"/>
      <c r="E761" s="5"/>
      <c r="F761" s="20"/>
      <c r="G761" s="20"/>
      <c r="H761" s="5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</row>
    <row r="762" spans="4:48" x14ac:dyDescent="0.3">
      <c r="D762" s="5"/>
      <c r="E762" s="5"/>
      <c r="F762" s="20"/>
      <c r="G762" s="20"/>
      <c r="H762" s="5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</row>
    <row r="763" spans="4:48" x14ac:dyDescent="0.3">
      <c r="D763" s="5"/>
      <c r="E763" s="5"/>
      <c r="F763" s="20"/>
      <c r="G763" s="20"/>
      <c r="H763" s="5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</row>
    <row r="764" spans="4:48" x14ac:dyDescent="0.3">
      <c r="D764" s="5"/>
      <c r="E764" s="5"/>
      <c r="F764" s="20"/>
      <c r="G764" s="20"/>
      <c r="H764" s="5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</row>
    <row r="765" spans="4:48" x14ac:dyDescent="0.3">
      <c r="D765" s="5"/>
      <c r="E765" s="5"/>
      <c r="F765" s="20"/>
      <c r="G765" s="20"/>
      <c r="H765" s="5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</row>
    <row r="766" spans="4:48" x14ac:dyDescent="0.3">
      <c r="D766" s="5"/>
      <c r="E766" s="5"/>
      <c r="F766" s="20"/>
      <c r="G766" s="20"/>
      <c r="H766" s="5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</row>
    <row r="767" spans="4:48" x14ac:dyDescent="0.3">
      <c r="D767" s="5"/>
      <c r="E767" s="5"/>
      <c r="F767" s="20"/>
      <c r="G767" s="20"/>
      <c r="H767" s="5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</row>
    <row r="768" spans="4:48" x14ac:dyDescent="0.3">
      <c r="D768" s="5"/>
      <c r="E768" s="5"/>
      <c r="F768" s="20"/>
      <c r="G768" s="20"/>
      <c r="H768" s="5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</row>
    <row r="769" spans="4:48" x14ac:dyDescent="0.3">
      <c r="D769" s="5"/>
      <c r="E769" s="5"/>
      <c r="F769" s="20"/>
      <c r="G769" s="20"/>
      <c r="H769" s="5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</row>
    <row r="770" spans="4:48" x14ac:dyDescent="0.3">
      <c r="D770" s="5"/>
      <c r="E770" s="5"/>
      <c r="F770" s="20"/>
      <c r="G770" s="20"/>
      <c r="H770" s="5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</row>
    <row r="771" spans="4:48" x14ac:dyDescent="0.3">
      <c r="D771" s="5"/>
      <c r="E771" s="5"/>
      <c r="F771" s="20"/>
      <c r="G771" s="20"/>
      <c r="H771" s="5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</row>
    <row r="772" spans="4:48" x14ac:dyDescent="0.3">
      <c r="D772" s="5"/>
      <c r="E772" s="5"/>
      <c r="F772" s="20"/>
      <c r="G772" s="20"/>
      <c r="H772" s="5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</row>
    <row r="773" spans="4:48" x14ac:dyDescent="0.3">
      <c r="D773" s="5"/>
      <c r="E773" s="5"/>
      <c r="F773" s="20"/>
      <c r="G773" s="20"/>
      <c r="H773" s="5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</row>
    <row r="774" spans="4:48" x14ac:dyDescent="0.3">
      <c r="D774" s="5"/>
      <c r="E774" s="5"/>
      <c r="F774" s="20"/>
      <c r="G774" s="20"/>
      <c r="H774" s="5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</row>
    <row r="775" spans="4:48" x14ac:dyDescent="0.3">
      <c r="D775" s="5"/>
      <c r="E775" s="5"/>
      <c r="F775" s="20"/>
      <c r="G775" s="20"/>
      <c r="H775" s="5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</row>
    <row r="776" spans="4:48" x14ac:dyDescent="0.3">
      <c r="D776" s="5"/>
      <c r="E776" s="5"/>
      <c r="F776" s="20"/>
      <c r="G776" s="20"/>
      <c r="H776" s="5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</row>
    <row r="777" spans="4:48" x14ac:dyDescent="0.3">
      <c r="D777" s="5"/>
      <c r="E777" s="5"/>
      <c r="F777" s="20"/>
      <c r="G777" s="20"/>
      <c r="H777" s="5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</row>
    <row r="778" spans="4:48" x14ac:dyDescent="0.3">
      <c r="D778" s="5"/>
      <c r="E778" s="5"/>
      <c r="F778" s="20"/>
      <c r="G778" s="20"/>
      <c r="H778" s="5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</row>
    <row r="779" spans="4:48" x14ac:dyDescent="0.3">
      <c r="D779" s="5"/>
      <c r="E779" s="5"/>
      <c r="F779" s="20"/>
      <c r="G779" s="20"/>
      <c r="H779" s="5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</row>
    <row r="780" spans="4:48" x14ac:dyDescent="0.3">
      <c r="D780" s="5"/>
      <c r="E780" s="5"/>
      <c r="F780" s="20"/>
      <c r="G780" s="20"/>
      <c r="H780" s="5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</row>
    <row r="781" spans="4:48" x14ac:dyDescent="0.3">
      <c r="D781" s="5"/>
      <c r="E781" s="5"/>
      <c r="F781" s="20"/>
      <c r="G781" s="20"/>
      <c r="H781" s="5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</row>
    <row r="782" spans="4:48" x14ac:dyDescent="0.3">
      <c r="D782" s="5"/>
      <c r="E782" s="5"/>
      <c r="F782" s="20"/>
      <c r="G782" s="20"/>
      <c r="H782" s="5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</row>
    <row r="783" spans="4:48" x14ac:dyDescent="0.3">
      <c r="D783" s="5"/>
      <c r="E783" s="5"/>
      <c r="F783" s="20"/>
      <c r="G783" s="20"/>
      <c r="H783" s="5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</row>
    <row r="784" spans="4:48" x14ac:dyDescent="0.3">
      <c r="D784" s="5"/>
      <c r="E784" s="5"/>
      <c r="F784" s="20"/>
      <c r="G784" s="20"/>
      <c r="H784" s="5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</row>
    <row r="785" spans="4:48" x14ac:dyDescent="0.3">
      <c r="D785" s="5"/>
      <c r="E785" s="5"/>
      <c r="F785" s="20"/>
      <c r="G785" s="20"/>
      <c r="H785" s="5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</row>
    <row r="786" spans="4:48" x14ac:dyDescent="0.3">
      <c r="D786" s="5"/>
      <c r="E786" s="5"/>
      <c r="F786" s="20"/>
      <c r="G786" s="20"/>
      <c r="H786" s="5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</row>
    <row r="787" spans="4:48" x14ac:dyDescent="0.3">
      <c r="D787" s="5"/>
      <c r="E787" s="5"/>
      <c r="F787" s="20"/>
      <c r="G787" s="20"/>
      <c r="H787" s="5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</row>
    <row r="788" spans="4:48" x14ac:dyDescent="0.3">
      <c r="D788" s="5"/>
      <c r="E788" s="5"/>
      <c r="F788" s="20"/>
      <c r="G788" s="20"/>
      <c r="H788" s="5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</row>
    <row r="789" spans="4:48" x14ac:dyDescent="0.3">
      <c r="D789" s="5"/>
      <c r="E789" s="5"/>
      <c r="F789" s="20"/>
      <c r="G789" s="20"/>
      <c r="H789" s="5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</row>
    <row r="790" spans="4:48" x14ac:dyDescent="0.3">
      <c r="D790" s="5"/>
      <c r="E790" s="5"/>
      <c r="F790" s="20"/>
      <c r="G790" s="20"/>
      <c r="H790" s="5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</row>
    <row r="791" spans="4:48" x14ac:dyDescent="0.3">
      <c r="D791" s="5"/>
      <c r="E791" s="5"/>
      <c r="F791" s="20"/>
      <c r="G791" s="20"/>
      <c r="H791" s="5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</row>
    <row r="792" spans="4:48" x14ac:dyDescent="0.3">
      <c r="D792" s="5"/>
      <c r="E792" s="5"/>
      <c r="F792" s="20"/>
      <c r="G792" s="20"/>
      <c r="H792" s="5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</row>
    <row r="793" spans="4:48" x14ac:dyDescent="0.3">
      <c r="D793" s="5"/>
      <c r="E793" s="5"/>
      <c r="F793" s="20"/>
      <c r="G793" s="20"/>
      <c r="H793" s="5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</row>
    <row r="794" spans="4:48" x14ac:dyDescent="0.3">
      <c r="D794" s="5"/>
      <c r="E794" s="5"/>
      <c r="F794" s="20"/>
      <c r="G794" s="20"/>
      <c r="H794" s="5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</row>
    <row r="795" spans="4:48" x14ac:dyDescent="0.3">
      <c r="D795" s="5"/>
      <c r="E795" s="5"/>
      <c r="F795" s="20"/>
      <c r="G795" s="20"/>
      <c r="H795" s="5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</row>
    <row r="796" spans="4:48" x14ac:dyDescent="0.3">
      <c r="D796" s="5"/>
      <c r="E796" s="5"/>
      <c r="F796" s="20"/>
      <c r="G796" s="20"/>
      <c r="H796" s="5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</row>
    <row r="797" spans="4:48" x14ac:dyDescent="0.3">
      <c r="D797" s="5"/>
      <c r="E797" s="5"/>
      <c r="F797" s="20"/>
      <c r="G797" s="20"/>
      <c r="H797" s="5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</row>
    <row r="798" spans="4:48" x14ac:dyDescent="0.3">
      <c r="D798" s="5"/>
      <c r="E798" s="5"/>
      <c r="F798" s="20"/>
      <c r="G798" s="20"/>
      <c r="H798" s="5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</row>
    <row r="799" spans="4:48" x14ac:dyDescent="0.3">
      <c r="D799" s="5"/>
      <c r="E799" s="5"/>
      <c r="F799" s="20"/>
      <c r="G799" s="20"/>
      <c r="H799" s="5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</row>
    <row r="800" spans="4:48" x14ac:dyDescent="0.3">
      <c r="D800" s="5"/>
      <c r="E800" s="5"/>
      <c r="F800" s="20"/>
      <c r="G800" s="20"/>
      <c r="H800" s="5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</row>
    <row r="801" spans="4:48" x14ac:dyDescent="0.3">
      <c r="D801" s="5"/>
      <c r="E801" s="5"/>
      <c r="F801" s="20"/>
      <c r="G801" s="20"/>
      <c r="H801" s="5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</row>
    <row r="802" spans="4:48" x14ac:dyDescent="0.3">
      <c r="D802" s="5"/>
      <c r="E802" s="5"/>
      <c r="F802" s="20"/>
      <c r="G802" s="20"/>
      <c r="H802" s="5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</row>
    <row r="803" spans="4:48" x14ac:dyDescent="0.3">
      <c r="D803" s="5"/>
      <c r="E803" s="5"/>
      <c r="F803" s="20"/>
      <c r="G803" s="20"/>
      <c r="H803" s="5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</row>
    <row r="804" spans="4:48" x14ac:dyDescent="0.3">
      <c r="D804" s="5"/>
      <c r="E804" s="5"/>
      <c r="F804" s="20"/>
      <c r="G804" s="20"/>
      <c r="H804" s="5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</row>
    <row r="805" spans="4:48" x14ac:dyDescent="0.3">
      <c r="D805" s="5"/>
      <c r="E805" s="5"/>
      <c r="F805" s="20"/>
      <c r="G805" s="20"/>
      <c r="H805" s="5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</row>
    <row r="806" spans="4:48" x14ac:dyDescent="0.3">
      <c r="D806" s="5"/>
      <c r="E806" s="5"/>
      <c r="F806" s="20"/>
      <c r="G806" s="20"/>
      <c r="H806" s="5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</row>
    <row r="807" spans="4:48" x14ac:dyDescent="0.3">
      <c r="D807" s="5"/>
      <c r="E807" s="5"/>
      <c r="F807" s="20"/>
      <c r="G807" s="20"/>
      <c r="H807" s="5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</row>
    <row r="808" spans="4:48" x14ac:dyDescent="0.3">
      <c r="D808" s="5"/>
      <c r="E808" s="5"/>
      <c r="F808" s="20"/>
      <c r="G808" s="20"/>
      <c r="H808" s="5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</row>
    <row r="809" spans="4:48" x14ac:dyDescent="0.3">
      <c r="D809" s="5"/>
      <c r="E809" s="5"/>
      <c r="F809" s="20"/>
      <c r="G809" s="20"/>
      <c r="H809" s="5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</row>
    <row r="810" spans="4:48" x14ac:dyDescent="0.3">
      <c r="D810" s="5"/>
      <c r="E810" s="5"/>
      <c r="F810" s="20"/>
      <c r="G810" s="20"/>
      <c r="H810" s="5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</row>
    <row r="811" spans="4:48" x14ac:dyDescent="0.3">
      <c r="D811" s="5"/>
      <c r="E811" s="5"/>
      <c r="F811" s="20"/>
      <c r="G811" s="20"/>
      <c r="H811" s="5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</row>
    <row r="812" spans="4:48" x14ac:dyDescent="0.3">
      <c r="D812" s="5"/>
      <c r="E812" s="5"/>
      <c r="F812" s="20"/>
      <c r="G812" s="20"/>
      <c r="H812" s="5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</row>
    <row r="813" spans="4:48" x14ac:dyDescent="0.3">
      <c r="D813" s="5"/>
      <c r="E813" s="5"/>
      <c r="F813" s="20"/>
      <c r="G813" s="20"/>
      <c r="H813" s="5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</row>
    <row r="814" spans="4:48" x14ac:dyDescent="0.3">
      <c r="D814" s="5"/>
      <c r="E814" s="5"/>
      <c r="F814" s="20"/>
      <c r="G814" s="20"/>
      <c r="H814" s="5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</row>
    <row r="815" spans="4:48" x14ac:dyDescent="0.3">
      <c r="D815" s="5"/>
      <c r="E815" s="5"/>
      <c r="F815" s="20"/>
      <c r="G815" s="20"/>
      <c r="H815" s="5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</row>
    <row r="816" spans="4:48" x14ac:dyDescent="0.3">
      <c r="D816" s="5"/>
      <c r="E816" s="5"/>
      <c r="F816" s="20"/>
      <c r="G816" s="20"/>
      <c r="H816" s="5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</row>
    <row r="817" spans="4:48" x14ac:dyDescent="0.3">
      <c r="D817" s="5"/>
      <c r="E817" s="5"/>
      <c r="F817" s="20"/>
      <c r="G817" s="20"/>
      <c r="H817" s="5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</row>
    <row r="818" spans="4:48" x14ac:dyDescent="0.3">
      <c r="D818" s="5"/>
      <c r="E818" s="5"/>
      <c r="F818" s="20"/>
      <c r="G818" s="20"/>
      <c r="H818" s="5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</row>
    <row r="819" spans="4:48" x14ac:dyDescent="0.3">
      <c r="D819" s="5"/>
      <c r="E819" s="5"/>
      <c r="F819" s="20"/>
      <c r="G819" s="20"/>
      <c r="H819" s="5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</row>
    <row r="820" spans="4:48" x14ac:dyDescent="0.3">
      <c r="D820" s="5"/>
      <c r="E820" s="5"/>
      <c r="F820" s="20"/>
      <c r="G820" s="20"/>
      <c r="H820" s="5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</row>
    <row r="821" spans="4:48" x14ac:dyDescent="0.3">
      <c r="D821" s="5"/>
      <c r="E821" s="5"/>
      <c r="F821" s="20"/>
      <c r="G821" s="20"/>
      <c r="H821" s="5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</row>
    <row r="822" spans="4:48" x14ac:dyDescent="0.3">
      <c r="D822" s="5"/>
      <c r="E822" s="5"/>
      <c r="F822" s="20"/>
      <c r="G822" s="20"/>
      <c r="H822" s="5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</row>
    <row r="823" spans="4:48" x14ac:dyDescent="0.3">
      <c r="D823" s="5"/>
      <c r="E823" s="5"/>
      <c r="F823" s="20"/>
      <c r="G823" s="20"/>
      <c r="H823" s="5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</row>
    <row r="824" spans="4:48" x14ac:dyDescent="0.3">
      <c r="D824" s="5"/>
      <c r="E824" s="5"/>
      <c r="F824" s="20"/>
      <c r="G824" s="20"/>
      <c r="H824" s="5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</row>
    <row r="825" spans="4:48" x14ac:dyDescent="0.3">
      <c r="D825" s="5"/>
      <c r="E825" s="5"/>
      <c r="F825" s="20"/>
      <c r="G825" s="20"/>
      <c r="H825" s="5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</row>
    <row r="826" spans="4:48" x14ac:dyDescent="0.3">
      <c r="D826" s="5"/>
      <c r="E826" s="5"/>
      <c r="F826" s="20"/>
      <c r="G826" s="20"/>
      <c r="H826" s="5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</row>
    <row r="827" spans="4:48" x14ac:dyDescent="0.3">
      <c r="D827" s="5"/>
      <c r="E827" s="5"/>
      <c r="F827" s="20"/>
      <c r="G827" s="20"/>
      <c r="H827" s="5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</row>
    <row r="828" spans="4:48" x14ac:dyDescent="0.3">
      <c r="D828" s="5"/>
      <c r="E828" s="5"/>
      <c r="F828" s="20"/>
      <c r="G828" s="20"/>
      <c r="H828" s="5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</row>
    <row r="829" spans="4:48" x14ac:dyDescent="0.3">
      <c r="D829" s="5"/>
      <c r="E829" s="5"/>
      <c r="F829" s="20"/>
      <c r="G829" s="20"/>
      <c r="H829" s="5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</row>
    <row r="830" spans="4:48" x14ac:dyDescent="0.3">
      <c r="D830" s="5"/>
      <c r="E830" s="5"/>
      <c r="F830" s="20"/>
      <c r="G830" s="20"/>
      <c r="H830" s="5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</row>
    <row r="831" spans="4:48" x14ac:dyDescent="0.3">
      <c r="D831" s="5"/>
      <c r="E831" s="5"/>
      <c r="F831" s="20"/>
      <c r="G831" s="20"/>
      <c r="H831" s="5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</row>
    <row r="832" spans="4:48" x14ac:dyDescent="0.3">
      <c r="D832" s="5"/>
      <c r="E832" s="5"/>
      <c r="F832" s="20"/>
      <c r="G832" s="20"/>
      <c r="H832" s="5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</row>
    <row r="833" spans="4:48" x14ac:dyDescent="0.3">
      <c r="D833" s="5"/>
      <c r="E833" s="5"/>
      <c r="F833" s="20"/>
      <c r="G833" s="20"/>
      <c r="H833" s="5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</row>
    <row r="834" spans="4:48" x14ac:dyDescent="0.3">
      <c r="D834" s="5"/>
      <c r="E834" s="5"/>
      <c r="F834" s="20"/>
      <c r="G834" s="20"/>
      <c r="H834" s="5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</row>
    <row r="835" spans="4:48" x14ac:dyDescent="0.3">
      <c r="D835" s="5"/>
      <c r="E835" s="5"/>
      <c r="F835" s="20"/>
      <c r="G835" s="20"/>
      <c r="H835" s="5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</row>
    <row r="836" spans="4:48" x14ac:dyDescent="0.3">
      <c r="D836" s="5"/>
      <c r="E836" s="5"/>
      <c r="F836" s="20"/>
      <c r="G836" s="20"/>
      <c r="H836" s="5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</row>
    <row r="837" spans="4:48" x14ac:dyDescent="0.3">
      <c r="D837" s="5"/>
      <c r="E837" s="5"/>
      <c r="F837" s="20"/>
      <c r="G837" s="20"/>
      <c r="H837" s="5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</row>
    <row r="838" spans="4:48" x14ac:dyDescent="0.3">
      <c r="D838" s="5"/>
      <c r="E838" s="5"/>
      <c r="F838" s="20"/>
      <c r="G838" s="20"/>
      <c r="H838" s="5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</row>
    <row r="839" spans="4:48" x14ac:dyDescent="0.3">
      <c r="D839" s="5"/>
      <c r="E839" s="5"/>
      <c r="F839" s="20"/>
      <c r="G839" s="20"/>
      <c r="H839" s="5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</row>
    <row r="840" spans="4:48" x14ac:dyDescent="0.3">
      <c r="D840" s="5"/>
      <c r="E840" s="5"/>
      <c r="F840" s="20"/>
      <c r="G840" s="20"/>
      <c r="H840" s="5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</row>
    <row r="841" spans="4:48" x14ac:dyDescent="0.3">
      <c r="D841" s="5"/>
      <c r="E841" s="5"/>
      <c r="F841" s="20"/>
      <c r="G841" s="20"/>
      <c r="H841" s="5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</row>
    <row r="842" spans="4:48" x14ac:dyDescent="0.3">
      <c r="D842" s="5"/>
      <c r="E842" s="5"/>
      <c r="F842" s="20"/>
      <c r="G842" s="20"/>
      <c r="H842" s="5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</row>
    <row r="843" spans="4:48" x14ac:dyDescent="0.3">
      <c r="D843" s="5"/>
      <c r="E843" s="5"/>
      <c r="F843" s="20"/>
      <c r="G843" s="20"/>
      <c r="H843" s="5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</row>
    <row r="844" spans="4:48" x14ac:dyDescent="0.3">
      <c r="D844" s="5"/>
      <c r="E844" s="5"/>
      <c r="F844" s="20"/>
      <c r="G844" s="20"/>
      <c r="H844" s="5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</row>
    <row r="845" spans="4:48" x14ac:dyDescent="0.3">
      <c r="D845" s="5"/>
      <c r="E845" s="5"/>
      <c r="F845" s="20"/>
      <c r="G845" s="20"/>
      <c r="H845" s="5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</row>
    <row r="846" spans="4:48" x14ac:dyDescent="0.3">
      <c r="D846" s="5"/>
      <c r="E846" s="5"/>
      <c r="F846" s="20"/>
      <c r="G846" s="20"/>
      <c r="H846" s="5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</row>
    <row r="847" spans="4:48" x14ac:dyDescent="0.3">
      <c r="D847" s="5"/>
      <c r="E847" s="5"/>
      <c r="F847" s="20"/>
      <c r="G847" s="20"/>
      <c r="H847" s="5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</row>
    <row r="848" spans="4:48" x14ac:dyDescent="0.3">
      <c r="D848" s="5"/>
      <c r="E848" s="5"/>
      <c r="F848" s="20"/>
      <c r="G848" s="20"/>
      <c r="H848" s="5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</row>
    <row r="849" spans="4:48" x14ac:dyDescent="0.3">
      <c r="D849" s="5"/>
      <c r="E849" s="5"/>
      <c r="F849" s="20"/>
      <c r="G849" s="20"/>
      <c r="H849" s="5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</row>
    <row r="850" spans="4:48" x14ac:dyDescent="0.3">
      <c r="D850" s="5"/>
      <c r="E850" s="5"/>
      <c r="F850" s="20"/>
      <c r="G850" s="20"/>
      <c r="H850" s="5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</row>
    <row r="851" spans="4:48" x14ac:dyDescent="0.3">
      <c r="D851" s="5"/>
      <c r="E851" s="5"/>
      <c r="F851" s="20"/>
      <c r="G851" s="20"/>
      <c r="H851" s="5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</row>
    <row r="852" spans="4:48" x14ac:dyDescent="0.3">
      <c r="D852" s="5"/>
      <c r="E852" s="5"/>
      <c r="F852" s="20"/>
      <c r="G852" s="20"/>
      <c r="H852" s="5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</row>
    <row r="853" spans="4:48" x14ac:dyDescent="0.3">
      <c r="D853" s="5"/>
      <c r="E853" s="5"/>
      <c r="F853" s="20"/>
      <c r="G853" s="20"/>
      <c r="H853" s="5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</row>
    <row r="854" spans="4:48" x14ac:dyDescent="0.3">
      <c r="D854" s="5"/>
      <c r="E854" s="5"/>
      <c r="F854" s="20"/>
      <c r="G854" s="20"/>
      <c r="H854" s="5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</row>
    <row r="855" spans="4:48" x14ac:dyDescent="0.3">
      <c r="D855" s="5"/>
      <c r="E855" s="5"/>
      <c r="F855" s="20"/>
      <c r="G855" s="20"/>
      <c r="H855" s="5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</row>
    <row r="856" spans="4:48" x14ac:dyDescent="0.3">
      <c r="D856" s="5"/>
      <c r="E856" s="5"/>
      <c r="F856" s="20"/>
      <c r="G856" s="20"/>
      <c r="H856" s="5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</row>
    <row r="857" spans="4:48" x14ac:dyDescent="0.3">
      <c r="D857" s="5"/>
      <c r="E857" s="5"/>
      <c r="F857" s="20"/>
      <c r="G857" s="20"/>
      <c r="H857" s="5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</row>
    <row r="858" spans="4:48" x14ac:dyDescent="0.3">
      <c r="D858" s="5"/>
      <c r="E858" s="5"/>
      <c r="F858" s="20"/>
      <c r="G858" s="20"/>
      <c r="H858" s="5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</row>
    <row r="859" spans="4:48" x14ac:dyDescent="0.3">
      <c r="D859" s="5"/>
      <c r="E859" s="5"/>
      <c r="F859" s="20"/>
      <c r="G859" s="20"/>
      <c r="H859" s="5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</row>
    <row r="860" spans="4:48" x14ac:dyDescent="0.3">
      <c r="D860" s="5"/>
      <c r="E860" s="5"/>
      <c r="F860" s="20"/>
      <c r="G860" s="20"/>
      <c r="H860" s="5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</row>
    <row r="861" spans="4:48" x14ac:dyDescent="0.3">
      <c r="D861" s="5"/>
      <c r="E861" s="5"/>
      <c r="F861" s="20"/>
      <c r="G861" s="20"/>
      <c r="H861" s="5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</row>
    <row r="862" spans="4:48" x14ac:dyDescent="0.3">
      <c r="D862" s="5"/>
      <c r="E862" s="5"/>
      <c r="F862" s="20"/>
      <c r="G862" s="20"/>
      <c r="H862" s="5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</row>
    <row r="863" spans="4:48" x14ac:dyDescent="0.3">
      <c r="D863" s="5"/>
      <c r="E863" s="5"/>
      <c r="F863" s="20"/>
      <c r="G863" s="20"/>
      <c r="H863" s="5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</row>
    <row r="864" spans="4:48" x14ac:dyDescent="0.3">
      <c r="D864" s="5"/>
      <c r="E864" s="5"/>
      <c r="F864" s="20"/>
      <c r="G864" s="20"/>
      <c r="H864" s="5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</row>
    <row r="865" spans="4:48" x14ac:dyDescent="0.3">
      <c r="D865" s="5"/>
      <c r="E865" s="5"/>
      <c r="F865" s="20"/>
      <c r="G865" s="20"/>
      <c r="H865" s="5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</row>
    <row r="866" spans="4:48" x14ac:dyDescent="0.3">
      <c r="D866" s="5"/>
      <c r="E866" s="5"/>
      <c r="F866" s="20"/>
      <c r="G866" s="20"/>
      <c r="H866" s="5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</row>
    <row r="867" spans="4:48" x14ac:dyDescent="0.3">
      <c r="D867" s="5"/>
      <c r="E867" s="5"/>
      <c r="F867" s="20"/>
      <c r="G867" s="20"/>
      <c r="H867" s="5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</row>
    <row r="868" spans="4:48" x14ac:dyDescent="0.3">
      <c r="D868" s="5"/>
      <c r="E868" s="5"/>
      <c r="F868" s="20"/>
      <c r="G868" s="20"/>
      <c r="H868" s="5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</row>
    <row r="869" spans="4:48" x14ac:dyDescent="0.3">
      <c r="D869" s="5"/>
      <c r="E869" s="5"/>
      <c r="F869" s="20"/>
      <c r="G869" s="20"/>
      <c r="H869" s="5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</row>
    <row r="870" spans="4:48" x14ac:dyDescent="0.3">
      <c r="D870" s="5"/>
      <c r="E870" s="5"/>
      <c r="F870" s="20"/>
      <c r="G870" s="20"/>
      <c r="H870" s="5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</row>
    <row r="871" spans="4:48" x14ac:dyDescent="0.3">
      <c r="D871" s="5"/>
      <c r="E871" s="5"/>
      <c r="F871" s="20"/>
      <c r="G871" s="20"/>
      <c r="H871" s="5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</row>
    <row r="872" spans="4:48" x14ac:dyDescent="0.3">
      <c r="D872" s="5"/>
      <c r="E872" s="5"/>
      <c r="F872" s="20"/>
      <c r="G872" s="20"/>
      <c r="H872" s="5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</row>
    <row r="873" spans="4:48" x14ac:dyDescent="0.3">
      <c r="D873" s="5"/>
      <c r="E873" s="5"/>
      <c r="F873" s="20"/>
      <c r="G873" s="20"/>
      <c r="H873" s="5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</row>
    <row r="874" spans="4:48" x14ac:dyDescent="0.3">
      <c r="D874" s="5"/>
      <c r="E874" s="5"/>
      <c r="F874" s="20"/>
      <c r="G874" s="20"/>
      <c r="H874" s="5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</row>
    <row r="875" spans="4:48" x14ac:dyDescent="0.3">
      <c r="D875" s="5"/>
      <c r="E875" s="5"/>
      <c r="F875" s="20"/>
      <c r="G875" s="20"/>
      <c r="H875" s="5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</row>
    <row r="876" spans="4:48" x14ac:dyDescent="0.3">
      <c r="D876" s="5"/>
      <c r="E876" s="5"/>
      <c r="F876" s="20"/>
      <c r="G876" s="20"/>
      <c r="H876" s="5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</row>
    <row r="877" spans="4:48" x14ac:dyDescent="0.3">
      <c r="D877" s="5"/>
      <c r="E877" s="5"/>
      <c r="F877" s="20"/>
      <c r="G877" s="20"/>
      <c r="H877" s="5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</row>
    <row r="878" spans="4:48" x14ac:dyDescent="0.3">
      <c r="D878" s="5"/>
      <c r="E878" s="5"/>
      <c r="F878" s="20"/>
      <c r="G878" s="20"/>
      <c r="H878" s="5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</row>
    <row r="879" spans="4:48" x14ac:dyDescent="0.3">
      <c r="D879" s="5"/>
      <c r="E879" s="5"/>
      <c r="F879" s="20"/>
      <c r="G879" s="20"/>
      <c r="H879" s="5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</row>
    <row r="880" spans="4:48" x14ac:dyDescent="0.3">
      <c r="D880" s="5"/>
      <c r="E880" s="5"/>
      <c r="F880" s="20"/>
      <c r="G880" s="20"/>
      <c r="H880" s="5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</row>
    <row r="881" spans="4:48" x14ac:dyDescent="0.3">
      <c r="D881" s="5"/>
      <c r="E881" s="5"/>
      <c r="F881" s="20"/>
      <c r="G881" s="20"/>
      <c r="H881" s="5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</row>
    <row r="882" spans="4:48" x14ac:dyDescent="0.3">
      <c r="D882" s="5"/>
      <c r="E882" s="5"/>
      <c r="F882" s="20"/>
      <c r="G882" s="20"/>
      <c r="H882" s="5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</row>
    <row r="883" spans="4:48" x14ac:dyDescent="0.3">
      <c r="D883" s="5"/>
      <c r="E883" s="5"/>
      <c r="F883" s="20"/>
      <c r="G883" s="20"/>
      <c r="H883" s="5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</row>
    <row r="884" spans="4:48" x14ac:dyDescent="0.3">
      <c r="D884" s="5"/>
      <c r="E884" s="5"/>
      <c r="F884" s="20"/>
      <c r="G884" s="20"/>
      <c r="H884" s="5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</row>
    <row r="885" spans="4:48" x14ac:dyDescent="0.3">
      <c r="D885" s="5"/>
      <c r="E885" s="5"/>
      <c r="F885" s="20"/>
      <c r="G885" s="20"/>
      <c r="H885" s="5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</row>
    <row r="886" spans="4:48" x14ac:dyDescent="0.3">
      <c r="D886" s="5"/>
      <c r="E886" s="5"/>
      <c r="F886" s="20"/>
      <c r="G886" s="20"/>
      <c r="H886" s="5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</row>
    <row r="887" spans="4:48" x14ac:dyDescent="0.3">
      <c r="D887" s="5"/>
      <c r="E887" s="5"/>
      <c r="F887" s="20"/>
      <c r="G887" s="20"/>
      <c r="H887" s="5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</row>
    <row r="888" spans="4:48" x14ac:dyDescent="0.3">
      <c r="D888" s="5"/>
      <c r="E888" s="5"/>
      <c r="F888" s="20"/>
      <c r="G888" s="20"/>
      <c r="H888" s="5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</row>
    <row r="889" spans="4:48" x14ac:dyDescent="0.3">
      <c r="D889" s="5"/>
      <c r="E889" s="5"/>
      <c r="F889" s="20"/>
      <c r="G889" s="20"/>
      <c r="H889" s="5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</row>
    <row r="890" spans="4:48" x14ac:dyDescent="0.3">
      <c r="D890" s="5"/>
      <c r="E890" s="5"/>
      <c r="F890" s="20"/>
      <c r="G890" s="20"/>
      <c r="H890" s="5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</row>
    <row r="891" spans="4:48" x14ac:dyDescent="0.3">
      <c r="D891" s="5"/>
      <c r="E891" s="5"/>
      <c r="F891" s="20"/>
      <c r="G891" s="20"/>
      <c r="H891" s="5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</row>
    <row r="892" spans="4:48" x14ac:dyDescent="0.3">
      <c r="D892" s="5"/>
      <c r="E892" s="5"/>
      <c r="F892" s="20"/>
      <c r="G892" s="20"/>
      <c r="H892" s="5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</row>
    <row r="893" spans="4:48" x14ac:dyDescent="0.3">
      <c r="D893" s="5"/>
      <c r="E893" s="5"/>
      <c r="F893" s="20"/>
      <c r="G893" s="20"/>
      <c r="H893" s="5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</row>
    <row r="894" spans="4:48" x14ac:dyDescent="0.3">
      <c r="D894" s="5"/>
      <c r="E894" s="5"/>
      <c r="F894" s="20"/>
      <c r="G894" s="20"/>
      <c r="H894" s="5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</row>
    <row r="895" spans="4:48" x14ac:dyDescent="0.3">
      <c r="D895" s="5"/>
      <c r="E895" s="5"/>
      <c r="F895" s="20"/>
      <c r="G895" s="20"/>
      <c r="H895" s="5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</row>
    <row r="896" spans="4:48" x14ac:dyDescent="0.3">
      <c r="D896" s="5"/>
      <c r="E896" s="5"/>
      <c r="F896" s="20"/>
      <c r="G896" s="20"/>
      <c r="H896" s="5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</row>
    <row r="897" spans="4:48" x14ac:dyDescent="0.3">
      <c r="D897" s="5"/>
      <c r="E897" s="5"/>
      <c r="F897" s="20"/>
      <c r="G897" s="20"/>
      <c r="H897" s="5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</row>
    <row r="898" spans="4:48" x14ac:dyDescent="0.3">
      <c r="D898" s="5"/>
      <c r="E898" s="5"/>
      <c r="F898" s="20"/>
      <c r="G898" s="20"/>
      <c r="H898" s="5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</row>
    <row r="899" spans="4:48" x14ac:dyDescent="0.3">
      <c r="D899" s="5"/>
      <c r="E899" s="5"/>
      <c r="F899" s="20"/>
      <c r="G899" s="20"/>
      <c r="H899" s="5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</row>
    <row r="900" spans="4:48" x14ac:dyDescent="0.3">
      <c r="D900" s="5"/>
      <c r="E900" s="5"/>
      <c r="F900" s="20"/>
      <c r="G900" s="20"/>
      <c r="H900" s="5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</row>
    <row r="901" spans="4:48" x14ac:dyDescent="0.3">
      <c r="D901" s="5"/>
      <c r="E901" s="5"/>
      <c r="F901" s="20"/>
      <c r="G901" s="20"/>
      <c r="H901" s="5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</row>
    <row r="902" spans="4:48" x14ac:dyDescent="0.3">
      <c r="D902" s="5"/>
      <c r="E902" s="5"/>
      <c r="F902" s="20"/>
      <c r="G902" s="20"/>
      <c r="H902" s="5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</row>
    <row r="903" spans="4:48" x14ac:dyDescent="0.3">
      <c r="D903" s="5"/>
      <c r="E903" s="5"/>
      <c r="F903" s="20"/>
      <c r="G903" s="20"/>
      <c r="H903" s="5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</row>
    <row r="904" spans="4:48" x14ac:dyDescent="0.3">
      <c r="D904" s="5"/>
      <c r="E904" s="5"/>
      <c r="F904" s="20"/>
      <c r="G904" s="20"/>
      <c r="H904" s="5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</row>
    <row r="905" spans="4:48" x14ac:dyDescent="0.3">
      <c r="D905" s="5"/>
      <c r="E905" s="5"/>
      <c r="F905" s="20"/>
      <c r="G905" s="20"/>
      <c r="H905" s="5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</row>
    <row r="906" spans="4:48" x14ac:dyDescent="0.3">
      <c r="D906" s="5"/>
      <c r="E906" s="5"/>
      <c r="F906" s="20"/>
      <c r="G906" s="20"/>
      <c r="H906" s="5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</row>
    <row r="907" spans="4:48" x14ac:dyDescent="0.3">
      <c r="D907" s="5"/>
      <c r="E907" s="5"/>
      <c r="F907" s="20"/>
      <c r="G907" s="20"/>
      <c r="H907" s="5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</row>
    <row r="908" spans="4:48" x14ac:dyDescent="0.3">
      <c r="D908" s="5"/>
      <c r="E908" s="5"/>
      <c r="F908" s="20"/>
      <c r="G908" s="20"/>
      <c r="H908" s="5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</row>
    <row r="909" spans="4:48" x14ac:dyDescent="0.3">
      <c r="D909" s="5"/>
      <c r="E909" s="5"/>
      <c r="F909" s="20"/>
      <c r="G909" s="20"/>
      <c r="H909" s="5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</row>
    <row r="910" spans="4:48" x14ac:dyDescent="0.3">
      <c r="D910" s="5"/>
      <c r="E910" s="5"/>
      <c r="F910" s="20"/>
      <c r="G910" s="20"/>
      <c r="H910" s="5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</row>
    <row r="911" spans="4:48" x14ac:dyDescent="0.3">
      <c r="D911" s="5"/>
      <c r="E911" s="5"/>
      <c r="F911" s="20"/>
      <c r="G911" s="20"/>
      <c r="H911" s="5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</row>
    <row r="912" spans="4:48" x14ac:dyDescent="0.3">
      <c r="D912" s="5"/>
      <c r="E912" s="5"/>
      <c r="F912" s="20"/>
      <c r="G912" s="20"/>
      <c r="H912" s="5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</row>
    <row r="913" spans="4:48" x14ac:dyDescent="0.3">
      <c r="D913" s="5"/>
      <c r="E913" s="5"/>
      <c r="F913" s="20"/>
      <c r="G913" s="20"/>
      <c r="H913" s="5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</row>
    <row r="914" spans="4:48" x14ac:dyDescent="0.3">
      <c r="D914" s="5"/>
      <c r="E914" s="5"/>
      <c r="F914" s="20"/>
      <c r="G914" s="20"/>
      <c r="H914" s="5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</row>
    <row r="915" spans="4:48" x14ac:dyDescent="0.3">
      <c r="D915" s="5"/>
      <c r="E915" s="5"/>
      <c r="F915" s="20"/>
      <c r="G915" s="20"/>
      <c r="H915" s="5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</row>
    <row r="916" spans="4:48" x14ac:dyDescent="0.3">
      <c r="D916" s="5"/>
      <c r="E916" s="5"/>
      <c r="F916" s="20"/>
      <c r="G916" s="20"/>
      <c r="H916" s="5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</row>
    <row r="917" spans="4:48" x14ac:dyDescent="0.3">
      <c r="D917" s="5"/>
      <c r="E917" s="5"/>
      <c r="F917" s="20"/>
      <c r="G917" s="20"/>
      <c r="H917" s="5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</row>
    <row r="918" spans="4:48" x14ac:dyDescent="0.3">
      <c r="D918" s="5"/>
      <c r="E918" s="5"/>
      <c r="F918" s="20"/>
      <c r="G918" s="20"/>
      <c r="H918" s="5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</row>
    <row r="919" spans="4:48" x14ac:dyDescent="0.3">
      <c r="D919" s="5"/>
      <c r="E919" s="5"/>
      <c r="F919" s="20"/>
      <c r="G919" s="20"/>
      <c r="H919" s="5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</row>
    <row r="920" spans="4:48" x14ac:dyDescent="0.3">
      <c r="D920" s="5"/>
      <c r="E920" s="5"/>
      <c r="F920" s="20"/>
      <c r="G920" s="20"/>
      <c r="H920" s="5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</row>
    <row r="921" spans="4:48" x14ac:dyDescent="0.3">
      <c r="D921" s="5"/>
      <c r="E921" s="5"/>
      <c r="F921" s="20"/>
      <c r="G921" s="20"/>
      <c r="H921" s="5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</row>
    <row r="922" spans="4:48" x14ac:dyDescent="0.3">
      <c r="D922" s="5"/>
      <c r="E922" s="5"/>
      <c r="F922" s="20"/>
      <c r="G922" s="20"/>
      <c r="H922" s="5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</row>
    <row r="923" spans="4:48" x14ac:dyDescent="0.3">
      <c r="D923" s="5"/>
      <c r="E923" s="5"/>
      <c r="F923" s="20"/>
      <c r="G923" s="20"/>
      <c r="H923" s="5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</row>
    <row r="924" spans="4:48" x14ac:dyDescent="0.3">
      <c r="D924" s="5"/>
      <c r="E924" s="5"/>
      <c r="F924" s="20"/>
      <c r="G924" s="20"/>
      <c r="H924" s="5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</row>
    <row r="925" spans="4:48" x14ac:dyDescent="0.3">
      <c r="D925" s="5"/>
      <c r="E925" s="5"/>
      <c r="F925" s="20"/>
      <c r="G925" s="20"/>
      <c r="H925" s="5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</row>
    <row r="926" spans="4:48" x14ac:dyDescent="0.3">
      <c r="D926" s="5"/>
      <c r="E926" s="5"/>
      <c r="F926" s="20"/>
      <c r="G926" s="20"/>
      <c r="H926" s="5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</row>
    <row r="927" spans="4:48" x14ac:dyDescent="0.3">
      <c r="D927" s="5"/>
      <c r="E927" s="5"/>
      <c r="F927" s="20"/>
      <c r="G927" s="20"/>
      <c r="H927" s="5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</row>
    <row r="928" spans="4:48" x14ac:dyDescent="0.3">
      <c r="D928" s="5"/>
      <c r="E928" s="5"/>
      <c r="F928" s="20"/>
      <c r="G928" s="20"/>
      <c r="H928" s="5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</row>
    <row r="929" spans="4:48" x14ac:dyDescent="0.3">
      <c r="D929" s="5"/>
      <c r="E929" s="5"/>
      <c r="F929" s="20"/>
      <c r="G929" s="20"/>
      <c r="H929" s="5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</row>
    <row r="930" spans="4:48" x14ac:dyDescent="0.3">
      <c r="D930" s="5"/>
      <c r="E930" s="5"/>
      <c r="F930" s="20"/>
      <c r="G930" s="20"/>
      <c r="H930" s="5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</row>
    <row r="931" spans="4:48" x14ac:dyDescent="0.3">
      <c r="D931" s="5"/>
      <c r="E931" s="5"/>
      <c r="F931" s="20"/>
      <c r="G931" s="20"/>
      <c r="H931" s="5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</row>
    <row r="932" spans="4:48" x14ac:dyDescent="0.3">
      <c r="D932" s="5"/>
      <c r="E932" s="5"/>
      <c r="F932" s="20"/>
      <c r="G932" s="20"/>
      <c r="H932" s="5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</row>
    <row r="933" spans="4:48" x14ac:dyDescent="0.3">
      <c r="D933" s="5"/>
      <c r="E933" s="5"/>
      <c r="F933" s="20"/>
      <c r="G933" s="20"/>
      <c r="H933" s="5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</row>
    <row r="934" spans="4:48" x14ac:dyDescent="0.3">
      <c r="D934" s="5"/>
      <c r="E934" s="5"/>
      <c r="F934" s="20"/>
      <c r="G934" s="20"/>
      <c r="H934" s="5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</row>
    <row r="935" spans="4:48" x14ac:dyDescent="0.3">
      <c r="D935" s="5"/>
      <c r="E935" s="5"/>
      <c r="F935" s="20"/>
      <c r="G935" s="20"/>
      <c r="H935" s="5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</row>
    <row r="936" spans="4:48" x14ac:dyDescent="0.3">
      <c r="D936" s="5"/>
      <c r="E936" s="5"/>
      <c r="F936" s="20"/>
      <c r="G936" s="20"/>
      <c r="H936" s="5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</row>
    <row r="937" spans="4:48" x14ac:dyDescent="0.3">
      <c r="D937" s="5"/>
      <c r="E937" s="5"/>
      <c r="F937" s="20"/>
      <c r="G937" s="20"/>
      <c r="H937" s="5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</row>
    <row r="938" spans="4:48" x14ac:dyDescent="0.3">
      <c r="D938" s="5"/>
      <c r="E938" s="5"/>
      <c r="F938" s="20"/>
      <c r="G938" s="20"/>
      <c r="H938" s="5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</row>
    <row r="939" spans="4:48" x14ac:dyDescent="0.3">
      <c r="D939" s="5"/>
      <c r="E939" s="5"/>
      <c r="F939" s="20"/>
      <c r="G939" s="20"/>
      <c r="H939" s="5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</row>
    <row r="940" spans="4:48" x14ac:dyDescent="0.3">
      <c r="D940" s="5"/>
      <c r="E940" s="5"/>
      <c r="F940" s="20"/>
      <c r="G940" s="20"/>
      <c r="H940" s="5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</row>
    <row r="941" spans="4:48" x14ac:dyDescent="0.3">
      <c r="D941" s="5"/>
      <c r="E941" s="5"/>
      <c r="F941" s="20"/>
      <c r="G941" s="20"/>
      <c r="H941" s="5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</row>
    <row r="942" spans="4:48" x14ac:dyDescent="0.3">
      <c r="D942" s="5"/>
      <c r="E942" s="5"/>
      <c r="F942" s="20"/>
      <c r="G942" s="20"/>
      <c r="H942" s="5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</row>
    <row r="943" spans="4:48" x14ac:dyDescent="0.3">
      <c r="D943" s="5"/>
      <c r="E943" s="5"/>
      <c r="F943" s="20"/>
      <c r="G943" s="20"/>
      <c r="H943" s="5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</row>
    <row r="944" spans="4:48" x14ac:dyDescent="0.3">
      <c r="D944" s="5"/>
      <c r="E944" s="5"/>
      <c r="F944" s="20"/>
      <c r="G944" s="20"/>
      <c r="H944" s="5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</row>
    <row r="945" spans="4:48" x14ac:dyDescent="0.3">
      <c r="D945" s="5"/>
      <c r="E945" s="5"/>
      <c r="F945" s="20"/>
      <c r="G945" s="20"/>
      <c r="H945" s="5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</row>
    <row r="946" spans="4:48" x14ac:dyDescent="0.3">
      <c r="D946" s="5"/>
      <c r="E946" s="5"/>
      <c r="F946" s="20"/>
      <c r="G946" s="20"/>
      <c r="H946" s="5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</row>
    <row r="947" spans="4:48" x14ac:dyDescent="0.3">
      <c r="D947" s="5"/>
      <c r="E947" s="5"/>
      <c r="F947" s="20"/>
      <c r="G947" s="20"/>
      <c r="H947" s="5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</row>
    <row r="948" spans="4:48" x14ac:dyDescent="0.3">
      <c r="D948" s="5"/>
      <c r="E948" s="5"/>
      <c r="F948" s="20"/>
      <c r="G948" s="20"/>
      <c r="H948" s="5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</row>
    <row r="949" spans="4:48" x14ac:dyDescent="0.3">
      <c r="D949" s="5"/>
      <c r="E949" s="5"/>
      <c r="F949" s="20"/>
      <c r="G949" s="20"/>
      <c r="H949" s="5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</row>
    <row r="950" spans="4:48" x14ac:dyDescent="0.3">
      <c r="D950" s="5"/>
      <c r="E950" s="5"/>
      <c r="F950" s="20"/>
      <c r="G950" s="20"/>
      <c r="H950" s="5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</row>
    <row r="951" spans="4:48" x14ac:dyDescent="0.3">
      <c r="D951" s="5"/>
      <c r="E951" s="5"/>
      <c r="F951" s="20"/>
      <c r="G951" s="20"/>
      <c r="H951" s="5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</row>
    <row r="952" spans="4:48" x14ac:dyDescent="0.3">
      <c r="D952" s="5"/>
      <c r="E952" s="5"/>
      <c r="F952" s="20"/>
      <c r="G952" s="20"/>
      <c r="H952" s="5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</row>
    <row r="953" spans="4:48" x14ac:dyDescent="0.3">
      <c r="D953" s="5"/>
      <c r="E953" s="5"/>
      <c r="F953" s="20"/>
      <c r="G953" s="20"/>
      <c r="H953" s="5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</row>
    <row r="954" spans="4:48" x14ac:dyDescent="0.3">
      <c r="D954" s="5"/>
      <c r="E954" s="5"/>
      <c r="F954" s="20"/>
      <c r="G954" s="20"/>
      <c r="H954" s="5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</row>
    <row r="955" spans="4:48" x14ac:dyDescent="0.3">
      <c r="D955" s="5"/>
      <c r="E955" s="5"/>
      <c r="F955" s="20"/>
      <c r="G955" s="20"/>
      <c r="H955" s="5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</row>
    <row r="956" spans="4:48" x14ac:dyDescent="0.3">
      <c r="D956" s="5"/>
      <c r="E956" s="5"/>
      <c r="F956" s="20"/>
      <c r="G956" s="20"/>
      <c r="H956" s="5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</row>
    <row r="957" spans="4:48" x14ac:dyDescent="0.3">
      <c r="D957" s="5"/>
      <c r="E957" s="5"/>
      <c r="F957" s="20"/>
      <c r="G957" s="20"/>
      <c r="H957" s="5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</row>
    <row r="958" spans="4:48" x14ac:dyDescent="0.3">
      <c r="D958" s="5"/>
      <c r="E958" s="5"/>
      <c r="F958" s="20"/>
      <c r="G958" s="20"/>
      <c r="H958" s="5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</row>
    <row r="959" spans="4:48" x14ac:dyDescent="0.3">
      <c r="D959" s="5"/>
      <c r="E959" s="5"/>
      <c r="F959" s="20"/>
      <c r="G959" s="20"/>
      <c r="H959" s="5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</row>
    <row r="960" spans="4:48" x14ac:dyDescent="0.3">
      <c r="D960" s="5"/>
      <c r="E960" s="5"/>
      <c r="F960" s="20"/>
      <c r="G960" s="20"/>
      <c r="H960" s="5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</row>
    <row r="961" spans="4:48" x14ac:dyDescent="0.3">
      <c r="D961" s="5"/>
      <c r="E961" s="5"/>
      <c r="F961" s="20"/>
      <c r="G961" s="20"/>
      <c r="H961" s="5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</row>
    <row r="962" spans="4:48" x14ac:dyDescent="0.3">
      <c r="D962" s="5"/>
      <c r="E962" s="5"/>
      <c r="F962" s="20"/>
      <c r="G962" s="20"/>
      <c r="H962" s="5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</row>
    <row r="963" spans="4:48" x14ac:dyDescent="0.3">
      <c r="D963" s="5"/>
      <c r="E963" s="5"/>
      <c r="F963" s="20"/>
      <c r="G963" s="20"/>
      <c r="H963" s="5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</row>
    <row r="964" spans="4:48" x14ac:dyDescent="0.3">
      <c r="D964" s="5"/>
      <c r="E964" s="5"/>
      <c r="F964" s="20"/>
      <c r="G964" s="20"/>
      <c r="H964" s="5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</row>
    <row r="965" spans="4:48" x14ac:dyDescent="0.3">
      <c r="D965" s="5"/>
      <c r="E965" s="5"/>
      <c r="F965" s="20"/>
      <c r="G965" s="20"/>
      <c r="H965" s="5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</row>
    <row r="966" spans="4:48" x14ac:dyDescent="0.3">
      <c r="D966" s="5"/>
      <c r="E966" s="5"/>
      <c r="F966" s="20"/>
      <c r="G966" s="20"/>
      <c r="H966" s="5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</row>
    <row r="967" spans="4:48" x14ac:dyDescent="0.3">
      <c r="D967" s="5"/>
      <c r="E967" s="5"/>
      <c r="F967" s="20"/>
      <c r="G967" s="20"/>
      <c r="H967" s="5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</row>
    <row r="968" spans="4:48" x14ac:dyDescent="0.3">
      <c r="D968" s="5"/>
      <c r="E968" s="5"/>
      <c r="F968" s="20"/>
      <c r="G968" s="20"/>
      <c r="H968" s="5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</row>
    <row r="969" spans="4:48" x14ac:dyDescent="0.3">
      <c r="D969" s="5"/>
      <c r="E969" s="5"/>
      <c r="F969" s="20"/>
      <c r="G969" s="20"/>
      <c r="H969" s="5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</row>
    <row r="970" spans="4:48" x14ac:dyDescent="0.3">
      <c r="D970" s="5"/>
      <c r="E970" s="5"/>
      <c r="F970" s="20"/>
      <c r="G970" s="20"/>
      <c r="H970" s="5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</row>
    <row r="971" spans="4:48" x14ac:dyDescent="0.3">
      <c r="D971" s="5"/>
      <c r="E971" s="5"/>
      <c r="F971" s="20"/>
      <c r="G971" s="20"/>
      <c r="H971" s="5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</row>
    <row r="972" spans="4:48" x14ac:dyDescent="0.3">
      <c r="D972" s="5"/>
      <c r="E972" s="5"/>
      <c r="F972" s="20"/>
      <c r="G972" s="20"/>
      <c r="H972" s="5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</row>
    <row r="973" spans="4:48" x14ac:dyDescent="0.3">
      <c r="D973" s="5"/>
      <c r="E973" s="5"/>
      <c r="F973" s="20"/>
      <c r="G973" s="20"/>
      <c r="H973" s="5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</row>
    <row r="974" spans="4:48" x14ac:dyDescent="0.3">
      <c r="D974" s="5"/>
      <c r="E974" s="5"/>
      <c r="F974" s="20"/>
      <c r="G974" s="20"/>
      <c r="H974" s="5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</row>
    <row r="975" spans="4:48" x14ac:dyDescent="0.3">
      <c r="D975" s="5"/>
      <c r="E975" s="5"/>
      <c r="F975" s="20"/>
      <c r="G975" s="20"/>
      <c r="H975" s="5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</row>
    <row r="976" spans="4:48" x14ac:dyDescent="0.3">
      <c r="D976" s="5"/>
      <c r="E976" s="5"/>
      <c r="F976" s="20"/>
      <c r="G976" s="20"/>
      <c r="H976" s="5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</row>
    <row r="977" spans="4:48" x14ac:dyDescent="0.3">
      <c r="D977" s="5"/>
      <c r="E977" s="5"/>
      <c r="F977" s="20"/>
      <c r="G977" s="20"/>
      <c r="H977" s="5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</row>
    <row r="978" spans="4:48" x14ac:dyDescent="0.3">
      <c r="D978" s="5"/>
      <c r="E978" s="5"/>
      <c r="F978" s="20"/>
      <c r="G978" s="20"/>
      <c r="H978" s="5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</row>
    <row r="979" spans="4:48" x14ac:dyDescent="0.3">
      <c r="D979" s="5"/>
      <c r="E979" s="5"/>
      <c r="F979" s="20"/>
      <c r="G979" s="20"/>
      <c r="H979" s="5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</row>
    <row r="980" spans="4:48" x14ac:dyDescent="0.3">
      <c r="D980" s="5"/>
      <c r="E980" s="5"/>
      <c r="F980" s="20"/>
      <c r="G980" s="20"/>
      <c r="H980" s="5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</row>
    <row r="981" spans="4:48" x14ac:dyDescent="0.3">
      <c r="D981" s="5"/>
      <c r="E981" s="5"/>
      <c r="F981" s="20"/>
      <c r="G981" s="20"/>
      <c r="H981" s="5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</row>
    <row r="982" spans="4:48" x14ac:dyDescent="0.3">
      <c r="D982" s="5"/>
      <c r="E982" s="5"/>
      <c r="F982" s="20"/>
      <c r="G982" s="20"/>
      <c r="H982" s="5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</row>
    <row r="983" spans="4:48" x14ac:dyDescent="0.3">
      <c r="D983" s="5"/>
      <c r="E983" s="5"/>
      <c r="F983" s="20"/>
      <c r="G983" s="20"/>
      <c r="H983" s="5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</row>
    <row r="984" spans="4:48" x14ac:dyDescent="0.3">
      <c r="D984" s="5"/>
      <c r="E984" s="5"/>
      <c r="F984" s="20"/>
      <c r="G984" s="20"/>
      <c r="H984" s="5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</row>
    <row r="985" spans="4:48" x14ac:dyDescent="0.3">
      <c r="D985" s="5"/>
      <c r="E985" s="5"/>
      <c r="F985" s="20"/>
      <c r="G985" s="20"/>
      <c r="H985" s="5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</row>
    <row r="986" spans="4:48" x14ac:dyDescent="0.3">
      <c r="D986" s="5"/>
      <c r="E986" s="5"/>
      <c r="F986" s="20"/>
      <c r="G986" s="20"/>
      <c r="H986" s="5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</row>
    <row r="987" spans="4:48" x14ac:dyDescent="0.3">
      <c r="D987" s="5"/>
      <c r="E987" s="5"/>
      <c r="F987" s="20"/>
      <c r="G987" s="20"/>
      <c r="H987" s="5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</row>
    <row r="988" spans="4:48" x14ac:dyDescent="0.3">
      <c r="D988" s="5"/>
      <c r="E988" s="5"/>
      <c r="F988" s="20"/>
      <c r="G988" s="20"/>
      <c r="H988" s="5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</row>
    <row r="989" spans="4:48" x14ac:dyDescent="0.3">
      <c r="D989" s="5"/>
      <c r="E989" s="5"/>
      <c r="F989" s="20"/>
      <c r="G989" s="20"/>
      <c r="H989" s="5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</row>
    <row r="990" spans="4:48" x14ac:dyDescent="0.3">
      <c r="D990" s="5"/>
      <c r="E990" s="5"/>
      <c r="F990" s="20"/>
      <c r="G990" s="20"/>
      <c r="H990" s="5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</row>
    <row r="991" spans="4:48" x14ac:dyDescent="0.3">
      <c r="D991" s="5"/>
      <c r="E991" s="5"/>
      <c r="F991" s="20"/>
      <c r="G991" s="20"/>
      <c r="H991" s="5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</row>
    <row r="992" spans="4:48" x14ac:dyDescent="0.3">
      <c r="D992" s="5"/>
      <c r="E992" s="5"/>
      <c r="F992" s="20"/>
      <c r="G992" s="20"/>
      <c r="H992" s="5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</row>
    <row r="993" spans="4:48" x14ac:dyDescent="0.3">
      <c r="D993" s="5"/>
      <c r="E993" s="5"/>
      <c r="F993" s="20"/>
      <c r="G993" s="20"/>
      <c r="H993" s="5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</row>
    <row r="994" spans="4:48" x14ac:dyDescent="0.3">
      <c r="D994" s="5"/>
      <c r="E994" s="5"/>
      <c r="F994" s="20"/>
      <c r="G994" s="20"/>
      <c r="H994" s="5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</row>
    <row r="995" spans="4:48" x14ac:dyDescent="0.3">
      <c r="D995" s="5"/>
      <c r="E995" s="5"/>
      <c r="F995" s="20"/>
      <c r="G995" s="20"/>
      <c r="H995" s="5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</row>
    <row r="996" spans="4:48" x14ac:dyDescent="0.3">
      <c r="D996" s="5"/>
      <c r="E996" s="5"/>
      <c r="F996" s="20"/>
      <c r="G996" s="20"/>
      <c r="H996" s="5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</row>
    <row r="997" spans="4:48" x14ac:dyDescent="0.3">
      <c r="D997" s="5"/>
      <c r="E997" s="5"/>
      <c r="F997" s="20"/>
      <c r="G997" s="20"/>
      <c r="H997" s="5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</row>
    <row r="998" spans="4:48" x14ac:dyDescent="0.3">
      <c r="D998" s="5"/>
      <c r="E998" s="5"/>
      <c r="F998" s="20"/>
      <c r="G998" s="20"/>
      <c r="H998" s="5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</row>
    <row r="999" spans="4:48" x14ac:dyDescent="0.3">
      <c r="D999" s="5"/>
      <c r="E999" s="5"/>
      <c r="F999" s="20"/>
      <c r="G999" s="20"/>
      <c r="H999" s="5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</row>
    <row r="1000" spans="4:48" x14ac:dyDescent="0.3">
      <c r="D1000" s="5"/>
      <c r="E1000" s="5"/>
      <c r="F1000" s="20"/>
      <c r="G1000" s="20"/>
      <c r="H1000" s="5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</row>
    <row r="1001" spans="4:48" x14ac:dyDescent="0.3">
      <c r="D1001" s="5"/>
      <c r="E1001" s="5"/>
      <c r="F1001" s="20"/>
      <c r="G1001" s="20"/>
      <c r="H1001" s="5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</row>
    <row r="1002" spans="4:48" x14ac:dyDescent="0.3">
      <c r="D1002" s="5"/>
      <c r="E1002" s="5"/>
      <c r="F1002" s="20"/>
      <c r="G1002" s="20"/>
      <c r="H1002" s="5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</row>
    <row r="1003" spans="4:48" x14ac:dyDescent="0.3">
      <c r="D1003" s="5"/>
      <c r="E1003" s="5"/>
      <c r="F1003" s="20"/>
      <c r="G1003" s="20"/>
      <c r="H1003" s="5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</row>
    <row r="1004" spans="4:48" x14ac:dyDescent="0.3">
      <c r="D1004" s="5"/>
      <c r="E1004" s="5"/>
      <c r="F1004" s="20"/>
      <c r="G1004" s="20"/>
      <c r="H1004" s="5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</row>
    <row r="1005" spans="4:48" x14ac:dyDescent="0.3">
      <c r="D1005" s="5"/>
      <c r="E1005" s="5"/>
      <c r="F1005" s="20"/>
      <c r="G1005" s="20"/>
      <c r="H1005" s="5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</row>
    <row r="1006" spans="4:48" x14ac:dyDescent="0.3">
      <c r="D1006" s="5"/>
      <c r="E1006" s="5"/>
      <c r="F1006" s="20"/>
      <c r="G1006" s="20"/>
      <c r="H1006" s="5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</row>
    <row r="1007" spans="4:48" x14ac:dyDescent="0.3">
      <c r="D1007" s="5"/>
      <c r="E1007" s="5"/>
      <c r="F1007" s="20"/>
      <c r="G1007" s="20"/>
      <c r="H1007" s="5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</row>
    <row r="1008" spans="4:48" x14ac:dyDescent="0.3">
      <c r="D1008" s="5"/>
      <c r="E1008" s="5"/>
      <c r="F1008" s="20"/>
      <c r="G1008" s="20"/>
      <c r="H1008" s="5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</row>
    <row r="1009" spans="4:48" x14ac:dyDescent="0.3">
      <c r="D1009" s="5"/>
      <c r="E1009" s="5"/>
      <c r="F1009" s="20"/>
      <c r="G1009" s="20"/>
      <c r="H1009" s="5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</row>
    <row r="1010" spans="4:48" x14ac:dyDescent="0.3">
      <c r="D1010" s="5"/>
      <c r="E1010" s="5"/>
      <c r="F1010" s="20"/>
      <c r="G1010" s="20"/>
      <c r="H1010" s="5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</row>
    <row r="1011" spans="4:48" x14ac:dyDescent="0.3">
      <c r="D1011" s="5"/>
      <c r="E1011" s="5"/>
      <c r="F1011" s="20"/>
      <c r="G1011" s="20"/>
      <c r="H1011" s="5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</row>
    <row r="1012" spans="4:48" x14ac:dyDescent="0.3">
      <c r="D1012" s="5"/>
      <c r="E1012" s="5"/>
      <c r="F1012" s="20"/>
      <c r="G1012" s="20"/>
      <c r="H1012" s="5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</row>
    <row r="1013" spans="4:48" x14ac:dyDescent="0.3">
      <c r="D1013" s="5"/>
      <c r="E1013" s="5"/>
      <c r="F1013" s="20"/>
      <c r="G1013" s="20"/>
      <c r="H1013" s="5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</row>
    <row r="1014" spans="4:48" x14ac:dyDescent="0.3">
      <c r="D1014" s="5"/>
      <c r="E1014" s="5"/>
      <c r="F1014" s="20"/>
      <c r="G1014" s="20"/>
      <c r="H1014" s="5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</row>
    <row r="1015" spans="4:48" x14ac:dyDescent="0.3">
      <c r="D1015" s="5"/>
      <c r="E1015" s="5"/>
      <c r="F1015" s="20"/>
      <c r="G1015" s="20"/>
      <c r="H1015" s="5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</row>
    <row r="1016" spans="4:48" x14ac:dyDescent="0.3">
      <c r="D1016" s="5"/>
      <c r="E1016" s="5"/>
      <c r="F1016" s="20"/>
      <c r="G1016" s="20"/>
      <c r="H1016" s="5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</row>
    <row r="1017" spans="4:48" x14ac:dyDescent="0.3">
      <c r="D1017" s="5"/>
      <c r="E1017" s="5"/>
      <c r="F1017" s="20"/>
      <c r="G1017" s="20"/>
      <c r="H1017" s="5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</row>
    <row r="1018" spans="4:48" x14ac:dyDescent="0.3">
      <c r="D1018" s="5"/>
      <c r="E1018" s="5"/>
      <c r="F1018" s="20"/>
      <c r="G1018" s="20"/>
      <c r="H1018" s="5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</row>
    <row r="1019" spans="4:48" x14ac:dyDescent="0.3">
      <c r="D1019" s="5"/>
      <c r="E1019" s="5"/>
      <c r="F1019" s="20"/>
      <c r="G1019" s="20"/>
      <c r="H1019" s="5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</row>
    <row r="1020" spans="4:48" x14ac:dyDescent="0.3">
      <c r="D1020" s="5"/>
      <c r="E1020" s="5"/>
      <c r="F1020" s="20"/>
      <c r="G1020" s="20"/>
      <c r="H1020" s="5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</row>
    <row r="1021" spans="4:48" x14ac:dyDescent="0.3">
      <c r="D1021" s="5"/>
      <c r="E1021" s="5"/>
      <c r="F1021" s="20"/>
      <c r="G1021" s="20"/>
      <c r="H1021" s="5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</row>
    <row r="1022" spans="4:48" x14ac:dyDescent="0.3">
      <c r="D1022" s="5"/>
      <c r="E1022" s="5"/>
      <c r="F1022" s="20"/>
      <c r="G1022" s="20"/>
      <c r="H1022" s="5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</row>
    <row r="1023" spans="4:48" x14ac:dyDescent="0.3">
      <c r="D1023" s="5"/>
      <c r="E1023" s="5"/>
      <c r="F1023" s="20"/>
      <c r="G1023" s="20"/>
      <c r="H1023" s="5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</row>
    <row r="1024" spans="4:48" x14ac:dyDescent="0.3">
      <c r="D1024" s="5"/>
      <c r="E1024" s="5"/>
      <c r="F1024" s="20"/>
      <c r="G1024" s="20"/>
      <c r="H1024" s="5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</row>
    <row r="1025" spans="4:48" x14ac:dyDescent="0.3">
      <c r="D1025" s="5"/>
      <c r="E1025" s="5"/>
      <c r="F1025" s="20"/>
      <c r="G1025" s="20"/>
      <c r="H1025" s="5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</row>
    <row r="1026" spans="4:48" x14ac:dyDescent="0.3">
      <c r="D1026" s="5"/>
      <c r="E1026" s="5"/>
      <c r="F1026" s="20"/>
      <c r="G1026" s="20"/>
      <c r="H1026" s="5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</row>
    <row r="1027" spans="4:48" x14ac:dyDescent="0.3">
      <c r="D1027" s="5"/>
      <c r="E1027" s="5"/>
      <c r="F1027" s="20"/>
      <c r="G1027" s="20"/>
      <c r="H1027" s="5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</row>
    <row r="1028" spans="4:48" x14ac:dyDescent="0.3">
      <c r="D1028" s="5"/>
      <c r="E1028" s="5"/>
      <c r="F1028" s="20"/>
      <c r="G1028" s="20"/>
      <c r="H1028" s="5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</row>
    <row r="1029" spans="4:48" x14ac:dyDescent="0.3">
      <c r="D1029" s="5"/>
      <c r="E1029" s="5"/>
      <c r="F1029" s="20"/>
      <c r="G1029" s="20"/>
      <c r="H1029" s="5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</row>
    <row r="1030" spans="4:48" x14ac:dyDescent="0.3">
      <c r="D1030" s="5"/>
      <c r="E1030" s="5"/>
      <c r="F1030" s="20"/>
      <c r="G1030" s="20"/>
      <c r="H1030" s="5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</row>
    <row r="1031" spans="4:48" x14ac:dyDescent="0.3">
      <c r="D1031" s="5"/>
      <c r="E1031" s="5"/>
      <c r="F1031" s="20"/>
      <c r="G1031" s="20"/>
      <c r="H1031" s="5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</row>
    <row r="1032" spans="4:48" x14ac:dyDescent="0.3">
      <c r="D1032" s="5"/>
      <c r="E1032" s="5"/>
      <c r="F1032" s="20"/>
      <c r="G1032" s="20"/>
      <c r="H1032" s="5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</row>
    <row r="1033" spans="4:48" x14ac:dyDescent="0.3">
      <c r="D1033" s="5"/>
      <c r="E1033" s="5"/>
      <c r="F1033" s="20"/>
      <c r="G1033" s="20"/>
      <c r="H1033" s="5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</row>
    <row r="1034" spans="4:48" x14ac:dyDescent="0.3">
      <c r="D1034" s="5"/>
      <c r="E1034" s="5"/>
      <c r="F1034" s="20"/>
      <c r="G1034" s="20"/>
      <c r="H1034" s="5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</row>
    <row r="1035" spans="4:48" x14ac:dyDescent="0.3">
      <c r="D1035" s="5"/>
      <c r="E1035" s="5"/>
      <c r="F1035" s="20"/>
      <c r="G1035" s="20"/>
      <c r="H1035" s="5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</row>
    <row r="1036" spans="4:48" x14ac:dyDescent="0.3">
      <c r="D1036" s="5"/>
      <c r="E1036" s="5"/>
      <c r="F1036" s="20"/>
      <c r="G1036" s="20"/>
      <c r="H1036" s="5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</row>
    <row r="1037" spans="4:48" x14ac:dyDescent="0.3">
      <c r="D1037" s="5"/>
      <c r="E1037" s="5"/>
      <c r="F1037" s="20"/>
      <c r="G1037" s="20"/>
      <c r="H1037" s="5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</row>
    <row r="1038" spans="4:48" x14ac:dyDescent="0.3">
      <c r="D1038" s="5"/>
      <c r="E1038" s="5"/>
      <c r="F1038" s="20"/>
      <c r="G1038" s="20"/>
      <c r="H1038" s="5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</row>
    <row r="1039" spans="4:48" x14ac:dyDescent="0.3">
      <c r="D1039" s="5"/>
      <c r="E1039" s="5"/>
      <c r="F1039" s="20"/>
      <c r="G1039" s="20"/>
      <c r="H1039" s="5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</row>
    <row r="1040" spans="4:48" x14ac:dyDescent="0.3">
      <c r="D1040" s="5"/>
      <c r="E1040" s="5"/>
      <c r="F1040" s="20"/>
      <c r="G1040" s="20"/>
      <c r="H1040" s="5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</row>
    <row r="1041" spans="4:48" x14ac:dyDescent="0.3">
      <c r="D1041" s="5"/>
      <c r="E1041" s="5"/>
      <c r="F1041" s="20"/>
      <c r="G1041" s="20"/>
      <c r="H1041" s="5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</row>
    <row r="1042" spans="4:48" x14ac:dyDescent="0.3">
      <c r="D1042" s="5"/>
      <c r="E1042" s="5"/>
      <c r="F1042" s="20"/>
      <c r="G1042" s="20"/>
      <c r="H1042" s="5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</row>
    <row r="1043" spans="4:48" x14ac:dyDescent="0.3">
      <c r="D1043" s="5"/>
      <c r="E1043" s="5"/>
      <c r="F1043" s="20"/>
      <c r="G1043" s="20"/>
      <c r="H1043" s="5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</row>
    <row r="1044" spans="4:48" x14ac:dyDescent="0.3">
      <c r="D1044" s="5"/>
      <c r="E1044" s="5"/>
      <c r="F1044" s="20"/>
      <c r="G1044" s="20"/>
      <c r="H1044" s="5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</row>
    <row r="1045" spans="4:48" x14ac:dyDescent="0.3">
      <c r="D1045" s="5"/>
      <c r="E1045" s="5"/>
      <c r="F1045" s="20"/>
      <c r="G1045" s="20"/>
      <c r="H1045" s="5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</row>
    <row r="1046" spans="4:48" x14ac:dyDescent="0.3">
      <c r="D1046" s="5"/>
      <c r="E1046" s="5"/>
      <c r="F1046" s="20"/>
      <c r="G1046" s="20"/>
      <c r="H1046" s="5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</row>
    <row r="1047" spans="4:48" x14ac:dyDescent="0.3">
      <c r="D1047" s="5"/>
      <c r="E1047" s="5"/>
      <c r="F1047" s="20"/>
      <c r="G1047" s="20"/>
      <c r="H1047" s="5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</row>
    <row r="1048" spans="4:48" x14ac:dyDescent="0.3">
      <c r="D1048" s="5"/>
      <c r="E1048" s="5"/>
      <c r="F1048" s="20"/>
      <c r="G1048" s="20"/>
      <c r="H1048" s="5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</row>
    <row r="1049" spans="4:48" x14ac:dyDescent="0.3">
      <c r="D1049" s="5"/>
      <c r="E1049" s="5"/>
      <c r="F1049" s="20"/>
      <c r="G1049" s="20"/>
      <c r="H1049" s="5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</row>
    <row r="1050" spans="4:48" x14ac:dyDescent="0.3">
      <c r="D1050" s="5"/>
      <c r="E1050" s="5"/>
      <c r="F1050" s="20"/>
      <c r="G1050" s="20"/>
      <c r="H1050" s="5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</row>
    <row r="1051" spans="4:48" x14ac:dyDescent="0.3">
      <c r="D1051" s="5"/>
      <c r="E1051" s="5"/>
      <c r="F1051" s="20"/>
      <c r="G1051" s="20"/>
      <c r="H1051" s="5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</row>
    <row r="1052" spans="4:48" x14ac:dyDescent="0.3">
      <c r="D1052" s="5"/>
      <c r="E1052" s="5"/>
      <c r="F1052" s="20"/>
      <c r="G1052" s="20"/>
      <c r="H1052" s="5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</row>
    <row r="1053" spans="4:48" x14ac:dyDescent="0.3">
      <c r="D1053" s="5"/>
      <c r="E1053" s="5"/>
      <c r="F1053" s="20"/>
      <c r="G1053" s="20"/>
      <c r="H1053" s="5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</row>
    <row r="1054" spans="4:48" x14ac:dyDescent="0.3">
      <c r="D1054" s="5"/>
      <c r="E1054" s="5"/>
      <c r="F1054" s="20"/>
      <c r="G1054" s="20"/>
      <c r="H1054" s="5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</row>
    <row r="1055" spans="4:48" x14ac:dyDescent="0.3">
      <c r="D1055" s="5"/>
      <c r="E1055" s="5"/>
      <c r="F1055" s="20"/>
      <c r="G1055" s="20"/>
      <c r="H1055" s="5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</row>
    <row r="1056" spans="4:48" x14ac:dyDescent="0.3">
      <c r="D1056" s="5"/>
      <c r="E1056" s="5"/>
      <c r="F1056" s="20"/>
      <c r="G1056" s="20"/>
      <c r="H1056" s="5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</row>
    <row r="1057" spans="4:48" x14ac:dyDescent="0.3">
      <c r="D1057" s="5"/>
      <c r="E1057" s="5"/>
      <c r="F1057" s="20"/>
      <c r="G1057" s="20"/>
      <c r="H1057" s="5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</row>
    <row r="1058" spans="4:48" x14ac:dyDescent="0.3">
      <c r="D1058" s="5"/>
      <c r="E1058" s="5"/>
      <c r="F1058" s="20"/>
      <c r="G1058" s="20"/>
      <c r="H1058" s="5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</row>
    <row r="1059" spans="4:48" x14ac:dyDescent="0.3">
      <c r="D1059" s="5"/>
      <c r="E1059" s="5"/>
      <c r="F1059" s="20"/>
      <c r="G1059" s="20"/>
      <c r="H1059" s="5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</row>
    <row r="1060" spans="4:48" x14ac:dyDescent="0.3">
      <c r="D1060" s="5"/>
      <c r="E1060" s="5"/>
      <c r="F1060" s="20"/>
      <c r="G1060" s="20"/>
      <c r="H1060" s="5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</row>
    <row r="1061" spans="4:48" x14ac:dyDescent="0.3">
      <c r="D1061" s="5"/>
      <c r="E1061" s="5"/>
      <c r="F1061" s="20"/>
      <c r="G1061" s="20"/>
      <c r="H1061" s="5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</row>
    <row r="1062" spans="4:48" x14ac:dyDescent="0.3">
      <c r="D1062" s="5"/>
      <c r="E1062" s="5"/>
      <c r="F1062" s="20"/>
      <c r="G1062" s="20"/>
      <c r="H1062" s="5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</row>
    <row r="1063" spans="4:48" x14ac:dyDescent="0.3">
      <c r="D1063" s="5"/>
      <c r="E1063" s="5"/>
      <c r="F1063" s="20"/>
      <c r="G1063" s="20"/>
      <c r="H1063" s="5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</row>
    <row r="1064" spans="4:48" x14ac:dyDescent="0.3">
      <c r="D1064" s="5"/>
      <c r="E1064" s="5"/>
      <c r="F1064" s="20"/>
      <c r="G1064" s="20"/>
      <c r="H1064" s="5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</row>
    <row r="1065" spans="4:48" x14ac:dyDescent="0.3">
      <c r="D1065" s="5"/>
      <c r="E1065" s="5"/>
      <c r="F1065" s="20"/>
      <c r="G1065" s="20"/>
      <c r="H1065" s="5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</row>
    <row r="1066" spans="4:48" x14ac:dyDescent="0.3">
      <c r="D1066" s="5"/>
      <c r="E1066" s="5"/>
      <c r="F1066" s="20"/>
      <c r="G1066" s="20"/>
      <c r="H1066" s="5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</row>
    <row r="1067" spans="4:48" x14ac:dyDescent="0.3">
      <c r="D1067" s="5"/>
      <c r="E1067" s="5"/>
      <c r="F1067" s="20"/>
      <c r="G1067" s="20"/>
      <c r="H1067" s="5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</row>
    <row r="1068" spans="4:48" x14ac:dyDescent="0.3">
      <c r="D1068" s="5"/>
      <c r="E1068" s="5"/>
      <c r="F1068" s="20"/>
      <c r="G1068" s="20"/>
      <c r="H1068" s="5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</row>
    <row r="1069" spans="4:48" x14ac:dyDescent="0.3">
      <c r="D1069" s="5"/>
      <c r="E1069" s="5"/>
      <c r="F1069" s="20"/>
      <c r="G1069" s="20"/>
      <c r="H1069" s="5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</row>
    <row r="1070" spans="4:48" x14ac:dyDescent="0.3">
      <c r="D1070" s="5"/>
      <c r="E1070" s="5"/>
      <c r="F1070" s="20"/>
      <c r="G1070" s="20"/>
      <c r="H1070" s="5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</row>
    <row r="1071" spans="4:48" x14ac:dyDescent="0.3">
      <c r="D1071" s="5"/>
      <c r="E1071" s="5"/>
      <c r="F1071" s="20"/>
      <c r="G1071" s="20"/>
      <c r="H1071" s="5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</row>
    <row r="1072" spans="4:48" x14ac:dyDescent="0.3">
      <c r="D1072" s="5"/>
      <c r="E1072" s="5"/>
      <c r="F1072" s="20"/>
      <c r="G1072" s="20"/>
      <c r="H1072" s="5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</row>
    <row r="1073" spans="4:48" x14ac:dyDescent="0.3">
      <c r="D1073" s="5"/>
      <c r="E1073" s="5"/>
      <c r="F1073" s="20"/>
      <c r="G1073" s="20"/>
      <c r="H1073" s="5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</row>
    <row r="1074" spans="4:48" x14ac:dyDescent="0.3">
      <c r="D1074" s="5"/>
      <c r="E1074" s="5"/>
      <c r="F1074" s="20"/>
      <c r="G1074" s="20"/>
      <c r="H1074" s="5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</row>
    <row r="1075" spans="4:48" x14ac:dyDescent="0.3">
      <c r="D1075" s="5"/>
      <c r="E1075" s="5"/>
      <c r="F1075" s="20"/>
      <c r="G1075" s="20"/>
      <c r="H1075" s="5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</row>
    <row r="1076" spans="4:48" x14ac:dyDescent="0.3">
      <c r="D1076" s="5"/>
      <c r="E1076" s="5"/>
      <c r="F1076" s="20"/>
      <c r="G1076" s="20"/>
      <c r="H1076" s="5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</row>
    <row r="1077" spans="4:48" x14ac:dyDescent="0.3">
      <c r="D1077" s="5"/>
      <c r="E1077" s="5"/>
      <c r="F1077" s="20"/>
      <c r="G1077" s="20"/>
      <c r="H1077" s="5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</row>
    <row r="1078" spans="4:48" x14ac:dyDescent="0.3">
      <c r="D1078" s="5"/>
      <c r="E1078" s="5"/>
      <c r="F1078" s="20"/>
      <c r="G1078" s="20"/>
      <c r="H1078" s="5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</row>
    <row r="1079" spans="4:48" x14ac:dyDescent="0.3">
      <c r="D1079" s="5"/>
      <c r="E1079" s="5"/>
      <c r="F1079" s="20"/>
      <c r="G1079" s="20"/>
      <c r="H1079" s="5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</row>
    <row r="1080" spans="4:48" x14ac:dyDescent="0.3">
      <c r="D1080" s="5"/>
      <c r="E1080" s="5"/>
      <c r="F1080" s="20"/>
      <c r="G1080" s="20"/>
      <c r="H1080" s="5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</row>
    <row r="1081" spans="4:48" x14ac:dyDescent="0.3">
      <c r="D1081" s="5"/>
      <c r="E1081" s="5"/>
      <c r="F1081" s="20"/>
      <c r="G1081" s="20"/>
      <c r="H1081" s="5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</row>
    <row r="1082" spans="4:48" x14ac:dyDescent="0.3">
      <c r="D1082" s="5"/>
      <c r="E1082" s="5"/>
      <c r="F1082" s="20"/>
      <c r="G1082" s="20"/>
      <c r="H1082" s="5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</row>
    <row r="1083" spans="4:48" x14ac:dyDescent="0.3">
      <c r="D1083" s="5"/>
      <c r="E1083" s="5"/>
      <c r="F1083" s="20"/>
      <c r="G1083" s="20"/>
      <c r="H1083" s="5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</row>
    <row r="1084" spans="4:48" x14ac:dyDescent="0.3">
      <c r="D1084" s="5"/>
      <c r="E1084" s="5"/>
      <c r="F1084" s="20"/>
      <c r="G1084" s="20"/>
      <c r="H1084" s="5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</row>
    <row r="1085" spans="4:48" x14ac:dyDescent="0.3">
      <c r="D1085" s="5"/>
      <c r="E1085" s="5"/>
      <c r="F1085" s="20"/>
      <c r="G1085" s="20"/>
      <c r="H1085" s="5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</row>
    <row r="1086" spans="4:48" x14ac:dyDescent="0.3">
      <c r="D1086" s="5"/>
      <c r="E1086" s="5"/>
      <c r="F1086" s="20"/>
      <c r="G1086" s="20"/>
      <c r="H1086" s="5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</row>
    <row r="1087" spans="4:48" x14ac:dyDescent="0.3">
      <c r="D1087" s="5"/>
      <c r="E1087" s="5"/>
      <c r="F1087" s="20"/>
      <c r="G1087" s="20"/>
      <c r="H1087" s="5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</row>
    <row r="1088" spans="4:48" x14ac:dyDescent="0.3">
      <c r="D1088" s="5"/>
      <c r="E1088" s="5"/>
      <c r="F1088" s="20"/>
      <c r="G1088" s="20"/>
      <c r="H1088" s="5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</row>
    <row r="1089" spans="4:48" x14ac:dyDescent="0.3">
      <c r="D1089" s="5"/>
      <c r="E1089" s="5"/>
      <c r="F1089" s="20"/>
      <c r="G1089" s="20"/>
      <c r="H1089" s="5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</row>
    <row r="1090" spans="4:48" x14ac:dyDescent="0.3">
      <c r="D1090" s="5"/>
      <c r="E1090" s="5"/>
      <c r="F1090" s="20"/>
      <c r="G1090" s="20"/>
      <c r="H1090" s="5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</row>
    <row r="1091" spans="4:48" x14ac:dyDescent="0.3">
      <c r="D1091" s="5"/>
      <c r="E1091" s="5"/>
      <c r="F1091" s="20"/>
      <c r="G1091" s="20"/>
      <c r="H1091" s="5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</row>
    <row r="1092" spans="4:48" x14ac:dyDescent="0.3">
      <c r="D1092" s="5"/>
      <c r="E1092" s="5"/>
      <c r="F1092" s="20"/>
      <c r="G1092" s="20"/>
      <c r="H1092" s="5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</row>
    <row r="1093" spans="4:48" x14ac:dyDescent="0.3">
      <c r="D1093" s="5"/>
      <c r="E1093" s="5"/>
      <c r="F1093" s="20"/>
      <c r="G1093" s="20"/>
      <c r="H1093" s="5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</row>
    <row r="1094" spans="4:48" x14ac:dyDescent="0.3">
      <c r="D1094" s="5"/>
      <c r="E1094" s="5"/>
      <c r="F1094" s="20"/>
      <c r="G1094" s="20"/>
      <c r="H1094" s="5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</row>
    <row r="1095" spans="4:48" x14ac:dyDescent="0.3">
      <c r="D1095" s="5"/>
      <c r="E1095" s="5"/>
      <c r="F1095" s="20"/>
      <c r="G1095" s="20"/>
      <c r="H1095" s="5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</row>
    <row r="1096" spans="4:48" x14ac:dyDescent="0.3">
      <c r="D1096" s="5"/>
      <c r="E1096" s="5"/>
      <c r="F1096" s="20"/>
      <c r="G1096" s="20"/>
      <c r="H1096" s="5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</row>
    <row r="1097" spans="4:48" x14ac:dyDescent="0.3">
      <c r="D1097" s="5"/>
      <c r="E1097" s="5"/>
      <c r="F1097" s="20"/>
      <c r="G1097" s="20"/>
      <c r="H1097" s="5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</row>
    <row r="1098" spans="4:48" x14ac:dyDescent="0.3">
      <c r="D1098" s="5"/>
      <c r="E1098" s="5"/>
      <c r="F1098" s="20"/>
      <c r="G1098" s="20"/>
      <c r="H1098" s="5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</row>
    <row r="1099" spans="4:48" x14ac:dyDescent="0.3">
      <c r="D1099" s="5"/>
      <c r="E1099" s="5"/>
      <c r="F1099" s="20"/>
      <c r="G1099" s="20"/>
      <c r="H1099" s="5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</row>
    <row r="1100" spans="4:48" x14ac:dyDescent="0.3">
      <c r="D1100" s="5"/>
      <c r="E1100" s="5"/>
      <c r="F1100" s="20"/>
      <c r="G1100" s="20"/>
      <c r="H1100" s="5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</row>
    <row r="1101" spans="4:48" x14ac:dyDescent="0.3">
      <c r="D1101" s="5"/>
      <c r="E1101" s="5"/>
      <c r="F1101" s="20"/>
      <c r="G1101" s="20"/>
      <c r="H1101" s="5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  <c r="AJ1101" s="4"/>
      <c r="AK1101" s="4"/>
      <c r="AL1101" s="4"/>
      <c r="AM1101" s="4"/>
      <c r="AN1101" s="4"/>
      <c r="AO1101" s="4"/>
      <c r="AP1101" s="4"/>
      <c r="AQ1101" s="4"/>
      <c r="AR1101" s="4"/>
      <c r="AS1101" s="4"/>
      <c r="AT1101" s="4"/>
      <c r="AU1101" s="4"/>
      <c r="AV1101" s="4"/>
    </row>
    <row r="1102" spans="4:48" x14ac:dyDescent="0.3">
      <c r="D1102" s="5"/>
      <c r="E1102" s="5"/>
      <c r="F1102" s="20"/>
      <c r="G1102" s="20"/>
      <c r="H1102" s="5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</row>
    <row r="1103" spans="4:48" x14ac:dyDescent="0.3">
      <c r="D1103" s="5"/>
      <c r="E1103" s="5"/>
      <c r="F1103" s="20"/>
      <c r="G1103" s="20"/>
      <c r="H1103" s="5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</row>
    <row r="1104" spans="4:48" x14ac:dyDescent="0.3">
      <c r="D1104" s="5"/>
      <c r="E1104" s="5"/>
      <c r="F1104" s="20"/>
      <c r="G1104" s="20"/>
      <c r="H1104" s="5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</row>
    <row r="1105" spans="4:48" x14ac:dyDescent="0.3">
      <c r="D1105" s="5"/>
      <c r="E1105" s="5"/>
      <c r="F1105" s="20"/>
      <c r="G1105" s="20"/>
      <c r="H1105" s="5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</row>
    <row r="1106" spans="4:48" x14ac:dyDescent="0.3">
      <c r="D1106" s="5"/>
      <c r="E1106" s="5"/>
      <c r="F1106" s="20"/>
      <c r="G1106" s="20"/>
      <c r="H1106" s="5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</row>
    <row r="1107" spans="4:48" x14ac:dyDescent="0.3">
      <c r="D1107" s="5"/>
      <c r="E1107" s="5"/>
      <c r="F1107" s="20"/>
      <c r="G1107" s="20"/>
      <c r="H1107" s="5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</row>
    <row r="1108" spans="4:48" x14ac:dyDescent="0.3">
      <c r="D1108" s="5"/>
      <c r="E1108" s="5"/>
      <c r="F1108" s="20"/>
      <c r="G1108" s="20"/>
      <c r="H1108" s="5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</row>
    <row r="1109" spans="4:48" x14ac:dyDescent="0.3">
      <c r="D1109" s="5"/>
      <c r="E1109" s="5"/>
      <c r="F1109" s="20"/>
      <c r="G1109" s="20"/>
      <c r="H1109" s="5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</row>
    <row r="1110" spans="4:48" x14ac:dyDescent="0.3">
      <c r="D1110" s="5"/>
      <c r="E1110" s="5"/>
      <c r="F1110" s="20"/>
      <c r="G1110" s="20"/>
      <c r="H1110" s="5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</row>
    <row r="1111" spans="4:48" x14ac:dyDescent="0.3">
      <c r="D1111" s="5"/>
      <c r="E1111" s="5"/>
      <c r="F1111" s="20"/>
      <c r="G1111" s="20"/>
      <c r="H1111" s="5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</row>
    <row r="1112" spans="4:48" x14ac:dyDescent="0.3">
      <c r="D1112" s="5"/>
      <c r="E1112" s="5"/>
      <c r="F1112" s="20"/>
      <c r="G1112" s="20"/>
      <c r="H1112" s="5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</row>
    <row r="1113" spans="4:48" x14ac:dyDescent="0.3">
      <c r="D1113" s="5"/>
      <c r="E1113" s="5"/>
      <c r="F1113" s="20"/>
      <c r="G1113" s="20"/>
      <c r="H1113" s="5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</row>
    <row r="1114" spans="4:48" x14ac:dyDescent="0.3">
      <c r="D1114" s="5"/>
      <c r="E1114" s="5"/>
      <c r="F1114" s="20"/>
      <c r="G1114" s="20"/>
      <c r="H1114" s="5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</row>
    <row r="1115" spans="4:48" x14ac:dyDescent="0.3">
      <c r="D1115" s="5"/>
      <c r="E1115" s="5"/>
      <c r="F1115" s="20"/>
      <c r="G1115" s="20"/>
      <c r="H1115" s="5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</row>
    <row r="1116" spans="4:48" x14ac:dyDescent="0.3">
      <c r="D1116" s="5"/>
      <c r="E1116" s="5"/>
      <c r="F1116" s="20"/>
      <c r="G1116" s="20"/>
      <c r="H1116" s="5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</row>
    <row r="1117" spans="4:48" x14ac:dyDescent="0.3">
      <c r="D1117" s="5"/>
      <c r="E1117" s="5"/>
      <c r="F1117" s="20"/>
      <c r="G1117" s="20"/>
      <c r="H1117" s="5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</row>
    <row r="1118" spans="4:48" x14ac:dyDescent="0.3">
      <c r="D1118" s="5"/>
      <c r="E1118" s="5"/>
      <c r="F1118" s="20"/>
      <c r="G1118" s="20"/>
      <c r="H1118" s="5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</row>
    <row r="1119" spans="4:48" x14ac:dyDescent="0.3">
      <c r="D1119" s="5"/>
      <c r="E1119" s="5"/>
      <c r="F1119" s="20"/>
      <c r="G1119" s="20"/>
      <c r="H1119" s="5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</row>
    <row r="1120" spans="4:48" x14ac:dyDescent="0.3">
      <c r="D1120" s="5"/>
      <c r="E1120" s="5"/>
      <c r="F1120" s="20"/>
      <c r="G1120" s="20"/>
      <c r="H1120" s="5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</row>
    <row r="1121" spans="4:48" x14ac:dyDescent="0.3">
      <c r="D1121" s="5"/>
      <c r="E1121" s="5"/>
      <c r="F1121" s="20"/>
      <c r="G1121" s="20"/>
      <c r="H1121" s="5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</row>
    <row r="1122" spans="4:48" x14ac:dyDescent="0.3">
      <c r="D1122" s="5"/>
      <c r="E1122" s="5"/>
      <c r="F1122" s="20"/>
      <c r="G1122" s="20"/>
      <c r="H1122" s="5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</row>
    <row r="1123" spans="4:48" x14ac:dyDescent="0.3">
      <c r="D1123" s="5"/>
      <c r="E1123" s="5"/>
      <c r="F1123" s="20"/>
      <c r="G1123" s="20"/>
      <c r="H1123" s="5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</row>
    <row r="1124" spans="4:48" x14ac:dyDescent="0.3">
      <c r="D1124" s="5"/>
      <c r="E1124" s="5"/>
      <c r="F1124" s="20"/>
      <c r="G1124" s="20"/>
      <c r="H1124" s="5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</row>
    <row r="1125" spans="4:48" x14ac:dyDescent="0.3">
      <c r="D1125" s="5"/>
      <c r="E1125" s="5"/>
      <c r="F1125" s="20"/>
      <c r="G1125" s="20"/>
      <c r="H1125" s="5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</row>
    <row r="1126" spans="4:48" x14ac:dyDescent="0.3">
      <c r="D1126" s="5"/>
      <c r="E1126" s="5"/>
      <c r="F1126" s="20"/>
      <c r="G1126" s="20"/>
      <c r="H1126" s="5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</row>
    <row r="1127" spans="4:48" x14ac:dyDescent="0.3">
      <c r="D1127" s="5"/>
      <c r="E1127" s="5"/>
      <c r="F1127" s="20"/>
      <c r="G1127" s="20"/>
      <c r="H1127" s="5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</row>
    <row r="1128" spans="4:48" x14ac:dyDescent="0.3">
      <c r="D1128" s="5"/>
      <c r="E1128" s="5"/>
      <c r="F1128" s="20"/>
      <c r="G1128" s="20"/>
      <c r="H1128" s="5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</row>
    <row r="1129" spans="4:48" x14ac:dyDescent="0.3">
      <c r="D1129" s="5"/>
      <c r="E1129" s="5"/>
      <c r="F1129" s="20"/>
      <c r="G1129" s="20"/>
      <c r="H1129" s="5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</row>
    <row r="1130" spans="4:48" x14ac:dyDescent="0.3">
      <c r="D1130" s="5"/>
      <c r="E1130" s="5"/>
      <c r="F1130" s="20"/>
      <c r="G1130" s="20"/>
      <c r="H1130" s="5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</row>
    <row r="1131" spans="4:48" x14ac:dyDescent="0.3">
      <c r="D1131" s="5"/>
      <c r="E1131" s="5"/>
      <c r="F1131" s="20"/>
      <c r="G1131" s="20"/>
      <c r="H1131" s="5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</row>
    <row r="1132" spans="4:48" x14ac:dyDescent="0.3">
      <c r="D1132" s="5"/>
      <c r="E1132" s="5"/>
      <c r="F1132" s="20"/>
      <c r="G1132" s="20"/>
      <c r="H1132" s="5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</row>
    <row r="1133" spans="4:48" x14ac:dyDescent="0.3">
      <c r="D1133" s="5"/>
      <c r="E1133" s="5"/>
      <c r="F1133" s="20"/>
      <c r="G1133" s="20"/>
      <c r="H1133" s="5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</row>
    <row r="1134" spans="4:48" x14ac:dyDescent="0.3">
      <c r="D1134" s="5"/>
      <c r="E1134" s="5"/>
      <c r="F1134" s="20"/>
      <c r="G1134" s="20"/>
      <c r="H1134" s="5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</row>
    <row r="1135" spans="4:48" x14ac:dyDescent="0.3">
      <c r="D1135" s="5"/>
      <c r="E1135" s="5"/>
      <c r="F1135" s="20"/>
      <c r="G1135" s="20"/>
      <c r="H1135" s="5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</row>
    <row r="1136" spans="4:48" x14ac:dyDescent="0.3">
      <c r="D1136" s="5"/>
      <c r="E1136" s="5"/>
      <c r="F1136" s="20"/>
      <c r="G1136" s="20"/>
      <c r="H1136" s="5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</row>
    <row r="1137" spans="4:48" x14ac:dyDescent="0.3">
      <c r="D1137" s="5"/>
      <c r="E1137" s="5"/>
      <c r="F1137" s="20"/>
      <c r="G1137" s="20"/>
      <c r="H1137" s="5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4"/>
      <c r="AG1137" s="4"/>
      <c r="AH1137" s="4"/>
      <c r="AI1137" s="4"/>
      <c r="AJ1137" s="4"/>
      <c r="AK1137" s="4"/>
      <c r="AL1137" s="4"/>
      <c r="AM1137" s="4"/>
      <c r="AN1137" s="4"/>
      <c r="AO1137" s="4"/>
      <c r="AP1137" s="4"/>
      <c r="AQ1137" s="4"/>
      <c r="AR1137" s="4"/>
      <c r="AS1137" s="4"/>
      <c r="AT1137" s="4"/>
      <c r="AU1137" s="4"/>
      <c r="AV1137" s="4"/>
    </row>
    <row r="1138" spans="4:48" x14ac:dyDescent="0.3">
      <c r="D1138" s="5"/>
      <c r="E1138" s="5"/>
      <c r="F1138" s="20"/>
      <c r="G1138" s="20"/>
      <c r="H1138" s="5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4"/>
      <c r="AG1138" s="4"/>
      <c r="AH1138" s="4"/>
      <c r="AI1138" s="4"/>
      <c r="AJ1138" s="4"/>
      <c r="AK1138" s="4"/>
      <c r="AL1138" s="4"/>
      <c r="AM1138" s="4"/>
      <c r="AN1138" s="4"/>
      <c r="AO1138" s="4"/>
      <c r="AP1138" s="4"/>
      <c r="AQ1138" s="4"/>
      <c r="AR1138" s="4"/>
      <c r="AS1138" s="4"/>
      <c r="AT1138" s="4"/>
      <c r="AU1138" s="4"/>
      <c r="AV1138" s="4"/>
    </row>
    <row r="1139" spans="4:48" x14ac:dyDescent="0.3">
      <c r="D1139" s="5"/>
      <c r="E1139" s="5"/>
      <c r="F1139" s="20"/>
      <c r="G1139" s="20"/>
      <c r="H1139" s="5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</row>
    <row r="1140" spans="4:48" x14ac:dyDescent="0.3">
      <c r="D1140" s="5"/>
      <c r="E1140" s="5"/>
      <c r="F1140" s="20"/>
      <c r="G1140" s="20"/>
      <c r="H1140" s="5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</row>
    <row r="1141" spans="4:48" x14ac:dyDescent="0.3">
      <c r="D1141" s="5"/>
      <c r="E1141" s="5"/>
      <c r="F1141" s="20"/>
      <c r="G1141" s="20"/>
      <c r="H1141" s="5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</row>
    <row r="1142" spans="4:48" x14ac:dyDescent="0.3">
      <c r="D1142" s="5"/>
      <c r="E1142" s="5"/>
      <c r="F1142" s="20"/>
      <c r="G1142" s="20"/>
      <c r="H1142" s="5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</row>
    <row r="1143" spans="4:48" x14ac:dyDescent="0.3">
      <c r="D1143" s="5"/>
      <c r="E1143" s="5"/>
      <c r="F1143" s="20"/>
      <c r="G1143" s="20"/>
      <c r="H1143" s="5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</row>
    <row r="1144" spans="4:48" x14ac:dyDescent="0.3">
      <c r="D1144" s="5"/>
      <c r="E1144" s="5"/>
      <c r="F1144" s="20"/>
      <c r="G1144" s="20"/>
      <c r="H1144" s="5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</row>
    <row r="1145" spans="4:48" x14ac:dyDescent="0.3">
      <c r="D1145" s="5"/>
      <c r="E1145" s="5"/>
      <c r="F1145" s="20"/>
      <c r="G1145" s="20"/>
      <c r="H1145" s="5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  <c r="AR1145" s="4"/>
      <c r="AS1145" s="4"/>
      <c r="AT1145" s="4"/>
      <c r="AU1145" s="4"/>
      <c r="AV1145" s="4"/>
    </row>
    <row r="1146" spans="4:48" x14ac:dyDescent="0.3">
      <c r="D1146" s="5"/>
      <c r="E1146" s="5"/>
      <c r="F1146" s="20"/>
      <c r="G1146" s="20"/>
      <c r="H1146" s="5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</row>
    <row r="1147" spans="4:48" x14ac:dyDescent="0.3">
      <c r="D1147" s="5"/>
      <c r="E1147" s="5"/>
      <c r="F1147" s="20"/>
      <c r="G1147" s="20"/>
      <c r="H1147" s="5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</row>
    <row r="1148" spans="4:48" x14ac:dyDescent="0.3">
      <c r="D1148" s="5"/>
      <c r="E1148" s="5"/>
      <c r="F1148" s="20"/>
      <c r="G1148" s="20"/>
      <c r="H1148" s="5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</row>
    <row r="1149" spans="4:48" x14ac:dyDescent="0.3">
      <c r="D1149" s="5"/>
      <c r="E1149" s="5"/>
      <c r="F1149" s="20"/>
      <c r="G1149" s="20"/>
      <c r="H1149" s="5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</row>
    <row r="1150" spans="4:48" x14ac:dyDescent="0.3">
      <c r="D1150" s="5"/>
      <c r="E1150" s="5"/>
      <c r="F1150" s="20"/>
      <c r="G1150" s="20"/>
      <c r="H1150" s="5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</row>
    <row r="1151" spans="4:48" x14ac:dyDescent="0.3">
      <c r="D1151" s="5"/>
      <c r="E1151" s="5"/>
      <c r="F1151" s="20"/>
      <c r="G1151" s="20"/>
      <c r="H1151" s="5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</row>
    <row r="1152" spans="4:48" x14ac:dyDescent="0.3">
      <c r="D1152" s="5"/>
      <c r="E1152" s="5"/>
      <c r="F1152" s="20"/>
      <c r="G1152" s="20"/>
      <c r="H1152" s="5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</row>
    <row r="1153" spans="4:48" x14ac:dyDescent="0.3">
      <c r="D1153" s="5"/>
      <c r="E1153" s="5"/>
      <c r="F1153" s="20"/>
      <c r="G1153" s="20"/>
      <c r="H1153" s="5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</row>
    <row r="1154" spans="4:48" x14ac:dyDescent="0.3">
      <c r="D1154" s="5"/>
      <c r="E1154" s="5"/>
      <c r="F1154" s="20"/>
      <c r="G1154" s="20"/>
      <c r="H1154" s="5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</row>
    <row r="1155" spans="4:48" x14ac:dyDescent="0.3">
      <c r="D1155" s="5"/>
      <c r="E1155" s="5"/>
      <c r="F1155" s="20"/>
      <c r="G1155" s="20"/>
      <c r="H1155" s="5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</row>
    <row r="1156" spans="4:48" x14ac:dyDescent="0.3">
      <c r="D1156" s="5"/>
      <c r="E1156" s="5"/>
      <c r="F1156" s="20"/>
      <c r="G1156" s="20"/>
      <c r="H1156" s="5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</row>
    <row r="1157" spans="4:48" x14ac:dyDescent="0.3">
      <c r="D1157" s="5"/>
      <c r="E1157" s="5"/>
      <c r="F1157" s="20"/>
      <c r="G1157" s="20"/>
      <c r="H1157" s="5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</row>
    <row r="1158" spans="4:48" x14ac:dyDescent="0.3">
      <c r="D1158" s="5"/>
      <c r="E1158" s="5"/>
      <c r="F1158" s="20"/>
      <c r="G1158" s="20"/>
      <c r="H1158" s="5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</row>
    <row r="1159" spans="4:48" x14ac:dyDescent="0.3">
      <c r="D1159" s="5"/>
      <c r="E1159" s="5"/>
      <c r="F1159" s="20"/>
      <c r="G1159" s="20"/>
      <c r="H1159" s="5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</row>
    <row r="1160" spans="4:48" x14ac:dyDescent="0.3">
      <c r="D1160" s="5"/>
      <c r="E1160" s="5"/>
      <c r="F1160" s="20"/>
      <c r="G1160" s="20"/>
      <c r="H1160" s="5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</row>
    <row r="1161" spans="4:48" x14ac:dyDescent="0.3">
      <c r="D1161" s="5"/>
      <c r="E1161" s="5"/>
      <c r="F1161" s="20"/>
      <c r="G1161" s="20"/>
      <c r="H1161" s="5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</row>
    <row r="1162" spans="4:48" x14ac:dyDescent="0.3">
      <c r="D1162" s="5"/>
      <c r="E1162" s="5"/>
      <c r="F1162" s="20"/>
      <c r="G1162" s="20"/>
      <c r="H1162" s="5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</row>
    <row r="1163" spans="4:48" x14ac:dyDescent="0.3">
      <c r="D1163" s="5"/>
      <c r="E1163" s="5"/>
      <c r="F1163" s="20"/>
      <c r="G1163" s="20"/>
      <c r="H1163" s="5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</row>
    <row r="1164" spans="4:48" x14ac:dyDescent="0.3">
      <c r="D1164" s="5"/>
      <c r="E1164" s="5"/>
      <c r="F1164" s="20"/>
      <c r="G1164" s="20"/>
      <c r="H1164" s="5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</row>
    <row r="1165" spans="4:48" x14ac:dyDescent="0.3">
      <c r="D1165" s="5"/>
      <c r="E1165" s="5"/>
      <c r="F1165" s="20"/>
      <c r="G1165" s="20"/>
      <c r="H1165" s="5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</row>
    <row r="1166" spans="4:48" x14ac:dyDescent="0.3">
      <c r="D1166" s="5"/>
      <c r="E1166" s="5"/>
      <c r="F1166" s="20"/>
      <c r="G1166" s="20"/>
      <c r="H1166" s="5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</row>
    <row r="1167" spans="4:48" x14ac:dyDescent="0.3">
      <c r="D1167" s="5"/>
      <c r="E1167" s="5"/>
      <c r="F1167" s="20"/>
      <c r="G1167" s="20"/>
      <c r="H1167" s="5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</row>
    <row r="1168" spans="4:48" x14ac:dyDescent="0.3">
      <c r="D1168" s="5"/>
      <c r="E1168" s="5"/>
      <c r="F1168" s="20"/>
      <c r="G1168" s="20"/>
      <c r="H1168" s="5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</row>
    <row r="1169" spans="4:48" x14ac:dyDescent="0.3">
      <c r="D1169" s="5"/>
      <c r="E1169" s="5"/>
      <c r="F1169" s="20"/>
      <c r="G1169" s="20"/>
      <c r="H1169" s="5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</row>
    <row r="1170" spans="4:48" x14ac:dyDescent="0.3">
      <c r="D1170" s="5"/>
      <c r="E1170" s="5"/>
      <c r="F1170" s="20"/>
      <c r="G1170" s="20"/>
      <c r="H1170" s="5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</row>
    <row r="1171" spans="4:48" x14ac:dyDescent="0.3">
      <c r="D1171" s="5"/>
      <c r="E1171" s="5"/>
      <c r="F1171" s="20"/>
      <c r="G1171" s="20"/>
      <c r="H1171" s="5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</row>
    <row r="1172" spans="4:48" x14ac:dyDescent="0.3">
      <c r="D1172" s="5"/>
      <c r="E1172" s="5"/>
      <c r="F1172" s="20"/>
      <c r="G1172" s="20"/>
      <c r="H1172" s="5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</row>
    <row r="1173" spans="4:48" x14ac:dyDescent="0.3">
      <c r="D1173" s="5"/>
      <c r="E1173" s="5"/>
      <c r="F1173" s="20"/>
      <c r="G1173" s="20"/>
      <c r="H1173" s="5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</row>
    <row r="1174" spans="4:48" x14ac:dyDescent="0.3">
      <c r="D1174" s="5"/>
      <c r="E1174" s="5"/>
      <c r="F1174" s="20"/>
      <c r="G1174" s="20"/>
      <c r="H1174" s="5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</row>
    <row r="1175" spans="4:48" x14ac:dyDescent="0.3">
      <c r="D1175" s="5"/>
      <c r="E1175" s="5"/>
      <c r="F1175" s="20"/>
      <c r="G1175" s="20"/>
      <c r="H1175" s="5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</row>
    <row r="1176" spans="4:48" x14ac:dyDescent="0.3">
      <c r="D1176" s="5"/>
      <c r="E1176" s="5"/>
      <c r="F1176" s="20"/>
      <c r="G1176" s="20"/>
      <c r="H1176" s="5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</row>
    <row r="1177" spans="4:48" x14ac:dyDescent="0.3">
      <c r="D1177" s="5"/>
      <c r="E1177" s="5"/>
      <c r="F1177" s="20"/>
      <c r="G1177" s="20"/>
      <c r="H1177" s="5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</row>
    <row r="1178" spans="4:48" x14ac:dyDescent="0.3">
      <c r="D1178" s="5"/>
      <c r="E1178" s="5"/>
      <c r="F1178" s="20"/>
      <c r="G1178" s="20"/>
      <c r="H1178" s="5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</row>
    <row r="1179" spans="4:48" x14ac:dyDescent="0.3">
      <c r="D1179" s="5"/>
      <c r="E1179" s="5"/>
      <c r="F1179" s="20"/>
      <c r="G1179" s="20"/>
      <c r="H1179" s="5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</row>
    <row r="1180" spans="4:48" x14ac:dyDescent="0.3">
      <c r="D1180" s="5"/>
      <c r="E1180" s="5"/>
      <c r="F1180" s="20"/>
      <c r="G1180" s="20"/>
      <c r="H1180" s="5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</row>
    <row r="1181" spans="4:48" x14ac:dyDescent="0.3">
      <c r="D1181" s="5"/>
      <c r="E1181" s="5"/>
      <c r="F1181" s="20"/>
      <c r="G1181" s="20"/>
      <c r="H1181" s="5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</row>
    <row r="1182" spans="4:48" x14ac:dyDescent="0.3">
      <c r="D1182" s="5"/>
      <c r="E1182" s="5"/>
      <c r="F1182" s="20"/>
      <c r="G1182" s="20"/>
      <c r="H1182" s="5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</row>
    <row r="1183" spans="4:48" x14ac:dyDescent="0.3">
      <c r="D1183" s="5"/>
      <c r="E1183" s="5"/>
      <c r="F1183" s="20"/>
      <c r="G1183" s="20"/>
      <c r="H1183" s="5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</row>
    <row r="1184" spans="4:48" x14ac:dyDescent="0.3">
      <c r="D1184" s="5"/>
      <c r="E1184" s="5"/>
      <c r="F1184" s="20"/>
      <c r="G1184" s="20"/>
      <c r="H1184" s="5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  <c r="AJ1184" s="4"/>
      <c r="AK1184" s="4"/>
      <c r="AL1184" s="4"/>
      <c r="AM1184" s="4"/>
      <c r="AN1184" s="4"/>
      <c r="AO1184" s="4"/>
      <c r="AP1184" s="4"/>
      <c r="AQ1184" s="4"/>
      <c r="AR1184" s="4"/>
      <c r="AS1184" s="4"/>
      <c r="AT1184" s="4"/>
      <c r="AU1184" s="4"/>
      <c r="AV1184" s="4"/>
    </row>
    <row r="1185" spans="4:48" x14ac:dyDescent="0.3">
      <c r="D1185" s="5"/>
      <c r="E1185" s="5"/>
      <c r="F1185" s="20"/>
      <c r="G1185" s="20"/>
      <c r="H1185" s="5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  <c r="AR1185" s="4"/>
      <c r="AS1185" s="4"/>
      <c r="AT1185" s="4"/>
      <c r="AU1185" s="4"/>
      <c r="AV1185" s="4"/>
    </row>
    <row r="1186" spans="4:48" x14ac:dyDescent="0.3">
      <c r="D1186" s="5"/>
      <c r="E1186" s="5"/>
      <c r="F1186" s="20"/>
      <c r="G1186" s="20"/>
      <c r="H1186" s="5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4"/>
      <c r="AO1186" s="4"/>
      <c r="AP1186" s="4"/>
      <c r="AQ1186" s="4"/>
      <c r="AR1186" s="4"/>
      <c r="AS1186" s="4"/>
      <c r="AT1186" s="4"/>
      <c r="AU1186" s="4"/>
      <c r="AV1186" s="4"/>
    </row>
    <row r="1187" spans="4:48" x14ac:dyDescent="0.3">
      <c r="D1187" s="5"/>
      <c r="E1187" s="5"/>
      <c r="F1187" s="20"/>
      <c r="G1187" s="20"/>
      <c r="H1187" s="5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4"/>
      <c r="AH1187" s="4"/>
      <c r="AI1187" s="4"/>
      <c r="AJ1187" s="4"/>
      <c r="AK1187" s="4"/>
      <c r="AL1187" s="4"/>
      <c r="AM1187" s="4"/>
      <c r="AN1187" s="4"/>
      <c r="AO1187" s="4"/>
      <c r="AP1187" s="4"/>
      <c r="AQ1187" s="4"/>
      <c r="AR1187" s="4"/>
      <c r="AS1187" s="4"/>
      <c r="AT1187" s="4"/>
      <c r="AU1187" s="4"/>
      <c r="AV1187" s="4"/>
    </row>
    <row r="1188" spans="4:48" x14ac:dyDescent="0.3">
      <c r="D1188" s="5"/>
      <c r="E1188" s="5"/>
      <c r="F1188" s="20"/>
      <c r="G1188" s="20"/>
      <c r="H1188" s="5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  <c r="AG1188" s="4"/>
      <c r="AH1188" s="4"/>
      <c r="AI1188" s="4"/>
      <c r="AJ1188" s="4"/>
      <c r="AK1188" s="4"/>
      <c r="AL1188" s="4"/>
      <c r="AM1188" s="4"/>
      <c r="AN1188" s="4"/>
      <c r="AO1188" s="4"/>
      <c r="AP1188" s="4"/>
      <c r="AQ1188" s="4"/>
      <c r="AR1188" s="4"/>
      <c r="AS1188" s="4"/>
      <c r="AT1188" s="4"/>
      <c r="AU1188" s="4"/>
      <c r="AV1188" s="4"/>
    </row>
    <row r="1189" spans="4:48" x14ac:dyDescent="0.3">
      <c r="D1189" s="5"/>
      <c r="E1189" s="5"/>
      <c r="F1189" s="20"/>
      <c r="G1189" s="20"/>
      <c r="H1189" s="5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</row>
    <row r="1190" spans="4:48" x14ac:dyDescent="0.3">
      <c r="D1190" s="5"/>
      <c r="E1190" s="5"/>
      <c r="F1190" s="20"/>
      <c r="G1190" s="20"/>
      <c r="H1190" s="5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</row>
    <row r="1191" spans="4:48" x14ac:dyDescent="0.3">
      <c r="D1191" s="5"/>
      <c r="E1191" s="5"/>
      <c r="F1191" s="20"/>
      <c r="G1191" s="20"/>
      <c r="H1191" s="5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</row>
    <row r="1192" spans="4:48" x14ac:dyDescent="0.3">
      <c r="D1192" s="5"/>
      <c r="E1192" s="5"/>
      <c r="F1192" s="20"/>
      <c r="G1192" s="20"/>
      <c r="H1192" s="5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</row>
    <row r="1193" spans="4:48" x14ac:dyDescent="0.3">
      <c r="D1193" s="5"/>
      <c r="E1193" s="5"/>
      <c r="F1193" s="20"/>
      <c r="G1193" s="20"/>
      <c r="H1193" s="5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</row>
    <row r="1194" spans="4:48" x14ac:dyDescent="0.3">
      <c r="D1194" s="5"/>
      <c r="E1194" s="5"/>
      <c r="F1194" s="20"/>
      <c r="G1194" s="20"/>
      <c r="H1194" s="5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</row>
    <row r="1195" spans="4:48" x14ac:dyDescent="0.3">
      <c r="D1195" s="5"/>
      <c r="E1195" s="5"/>
      <c r="F1195" s="20"/>
      <c r="G1195" s="20"/>
      <c r="H1195" s="5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</row>
    <row r="1196" spans="4:48" x14ac:dyDescent="0.3">
      <c r="D1196" s="5"/>
      <c r="E1196" s="5"/>
      <c r="F1196" s="20"/>
      <c r="G1196" s="20"/>
      <c r="H1196" s="5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</row>
    <row r="1197" spans="4:48" x14ac:dyDescent="0.3">
      <c r="D1197" s="5"/>
      <c r="E1197" s="5"/>
      <c r="F1197" s="20"/>
      <c r="G1197" s="20"/>
      <c r="H1197" s="5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</row>
    <row r="1198" spans="4:48" x14ac:dyDescent="0.3">
      <c r="D1198" s="5"/>
      <c r="E1198" s="5"/>
      <c r="F1198" s="20"/>
      <c r="G1198" s="20"/>
      <c r="H1198" s="5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</row>
    <row r="1199" spans="4:48" x14ac:dyDescent="0.3">
      <c r="D1199" s="5"/>
      <c r="E1199" s="5"/>
      <c r="F1199" s="20"/>
      <c r="G1199" s="20"/>
      <c r="H1199" s="5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</row>
    <row r="1200" spans="4:48" x14ac:dyDescent="0.3">
      <c r="D1200" s="5"/>
      <c r="E1200" s="5"/>
      <c r="F1200" s="20"/>
      <c r="G1200" s="20"/>
      <c r="H1200" s="5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</row>
    <row r="1201" spans="4:48" x14ac:dyDescent="0.3">
      <c r="D1201" s="5"/>
      <c r="E1201" s="5"/>
      <c r="F1201" s="20"/>
      <c r="G1201" s="20"/>
      <c r="H1201" s="5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</row>
    <row r="1202" spans="4:48" x14ac:dyDescent="0.3">
      <c r="D1202" s="5"/>
      <c r="E1202" s="5"/>
      <c r="F1202" s="20"/>
      <c r="G1202" s="20"/>
      <c r="H1202" s="5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</row>
    <row r="1203" spans="4:48" x14ac:dyDescent="0.3">
      <c r="D1203" s="5"/>
      <c r="E1203" s="5"/>
      <c r="F1203" s="20"/>
      <c r="G1203" s="20"/>
      <c r="H1203" s="5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  <c r="AJ1203" s="4"/>
      <c r="AK1203" s="4"/>
      <c r="AL1203" s="4"/>
      <c r="AM1203" s="4"/>
      <c r="AN1203" s="4"/>
      <c r="AO1203" s="4"/>
      <c r="AP1203" s="4"/>
      <c r="AQ1203" s="4"/>
      <c r="AR1203" s="4"/>
      <c r="AS1203" s="4"/>
      <c r="AT1203" s="4"/>
      <c r="AU1203" s="4"/>
      <c r="AV1203" s="4"/>
    </row>
    <row r="1204" spans="4:48" x14ac:dyDescent="0.3">
      <c r="D1204" s="5"/>
      <c r="E1204" s="5"/>
      <c r="F1204" s="20"/>
      <c r="G1204" s="20"/>
      <c r="H1204" s="5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  <c r="AG1204" s="4"/>
      <c r="AH1204" s="4"/>
      <c r="AI1204" s="4"/>
      <c r="AJ1204" s="4"/>
      <c r="AK1204" s="4"/>
      <c r="AL1204" s="4"/>
      <c r="AM1204" s="4"/>
      <c r="AN1204" s="4"/>
      <c r="AO1204" s="4"/>
      <c r="AP1204" s="4"/>
      <c r="AQ1204" s="4"/>
      <c r="AR1204" s="4"/>
      <c r="AS1204" s="4"/>
      <c r="AT1204" s="4"/>
      <c r="AU1204" s="4"/>
      <c r="AV1204" s="4"/>
    </row>
    <row r="1205" spans="4:48" x14ac:dyDescent="0.3">
      <c r="D1205" s="5"/>
      <c r="E1205" s="5"/>
      <c r="F1205" s="20"/>
      <c r="G1205" s="20"/>
      <c r="H1205" s="5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  <c r="AG1205" s="4"/>
      <c r="AH1205" s="4"/>
      <c r="AI1205" s="4"/>
      <c r="AJ1205" s="4"/>
      <c r="AK1205" s="4"/>
      <c r="AL1205" s="4"/>
      <c r="AM1205" s="4"/>
      <c r="AN1205" s="4"/>
      <c r="AO1205" s="4"/>
      <c r="AP1205" s="4"/>
      <c r="AQ1205" s="4"/>
      <c r="AR1205" s="4"/>
      <c r="AS1205" s="4"/>
      <c r="AT1205" s="4"/>
      <c r="AU1205" s="4"/>
      <c r="AV1205" s="4"/>
    </row>
    <row r="1206" spans="4:48" x14ac:dyDescent="0.3">
      <c r="D1206" s="5"/>
      <c r="E1206" s="5"/>
      <c r="F1206" s="20"/>
      <c r="G1206" s="20"/>
      <c r="H1206" s="5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  <c r="AG1206" s="4"/>
      <c r="AH1206" s="4"/>
      <c r="AI1206" s="4"/>
      <c r="AJ1206" s="4"/>
      <c r="AK1206" s="4"/>
      <c r="AL1206" s="4"/>
      <c r="AM1206" s="4"/>
      <c r="AN1206" s="4"/>
      <c r="AO1206" s="4"/>
      <c r="AP1206" s="4"/>
      <c r="AQ1206" s="4"/>
      <c r="AR1206" s="4"/>
      <c r="AS1206" s="4"/>
      <c r="AT1206" s="4"/>
      <c r="AU1206" s="4"/>
      <c r="AV1206" s="4"/>
    </row>
    <row r="1207" spans="4:48" x14ac:dyDescent="0.3">
      <c r="D1207" s="5"/>
      <c r="E1207" s="5"/>
      <c r="F1207" s="20"/>
      <c r="G1207" s="20"/>
      <c r="H1207" s="5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  <c r="AG1207" s="4"/>
      <c r="AH1207" s="4"/>
      <c r="AI1207" s="4"/>
      <c r="AJ1207" s="4"/>
      <c r="AK1207" s="4"/>
      <c r="AL1207" s="4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</row>
    <row r="1208" spans="4:48" x14ac:dyDescent="0.3">
      <c r="D1208" s="5"/>
      <c r="E1208" s="5"/>
      <c r="F1208" s="20"/>
      <c r="G1208" s="20"/>
      <c r="H1208" s="5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  <c r="AG1208" s="4"/>
      <c r="AH1208" s="4"/>
      <c r="AI1208" s="4"/>
      <c r="AJ1208" s="4"/>
      <c r="AK1208" s="4"/>
      <c r="AL1208" s="4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</row>
    <row r="1209" spans="4:48" x14ac:dyDescent="0.3">
      <c r="D1209" s="5"/>
      <c r="E1209" s="5"/>
      <c r="F1209" s="20"/>
      <c r="G1209" s="20"/>
      <c r="H1209" s="5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  <c r="AG1209" s="4"/>
      <c r="AH1209" s="4"/>
      <c r="AI1209" s="4"/>
      <c r="AJ1209" s="4"/>
      <c r="AK1209" s="4"/>
      <c r="AL1209" s="4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</row>
    <row r="1210" spans="4:48" x14ac:dyDescent="0.3">
      <c r="D1210" s="5"/>
      <c r="E1210" s="5"/>
      <c r="F1210" s="20"/>
      <c r="G1210" s="20"/>
      <c r="H1210" s="5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</row>
    <row r="1211" spans="4:48" x14ac:dyDescent="0.3">
      <c r="D1211" s="5"/>
      <c r="E1211" s="5"/>
      <c r="F1211" s="20"/>
      <c r="G1211" s="20"/>
      <c r="H1211" s="5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</row>
    <row r="1212" spans="4:48" x14ac:dyDescent="0.3">
      <c r="D1212" s="5"/>
      <c r="E1212" s="5"/>
      <c r="F1212" s="20"/>
      <c r="G1212" s="20"/>
      <c r="H1212" s="5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</row>
    <row r="1213" spans="4:48" x14ac:dyDescent="0.3">
      <c r="D1213" s="5"/>
      <c r="E1213" s="5"/>
      <c r="F1213" s="20"/>
      <c r="G1213" s="20"/>
      <c r="H1213" s="5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</row>
    <row r="1214" spans="4:48" x14ac:dyDescent="0.3">
      <c r="D1214" s="5"/>
      <c r="E1214" s="5"/>
      <c r="F1214" s="20"/>
      <c r="G1214" s="20"/>
      <c r="H1214" s="5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</row>
    <row r="1215" spans="4:48" x14ac:dyDescent="0.3">
      <c r="D1215" s="5"/>
      <c r="E1215" s="5"/>
      <c r="F1215" s="20"/>
      <c r="G1215" s="20"/>
      <c r="H1215" s="5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</row>
    <row r="1216" spans="4:48" x14ac:dyDescent="0.3">
      <c r="D1216" s="5"/>
      <c r="E1216" s="5"/>
      <c r="F1216" s="20"/>
      <c r="G1216" s="20"/>
      <c r="H1216" s="5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</row>
    <row r="1217" spans="4:48" x14ac:dyDescent="0.3">
      <c r="D1217" s="5"/>
      <c r="E1217" s="5"/>
      <c r="F1217" s="20"/>
      <c r="G1217" s="20"/>
      <c r="H1217" s="5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</row>
    <row r="1218" spans="4:48" x14ac:dyDescent="0.3">
      <c r="D1218" s="5"/>
      <c r="E1218" s="5"/>
      <c r="F1218" s="20"/>
      <c r="G1218" s="20"/>
      <c r="H1218" s="5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</row>
    <row r="1219" spans="4:48" x14ac:dyDescent="0.3">
      <c r="D1219" s="5"/>
      <c r="E1219" s="5"/>
      <c r="F1219" s="20"/>
      <c r="G1219" s="20"/>
      <c r="H1219" s="5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</row>
    <row r="1220" spans="4:48" x14ac:dyDescent="0.3">
      <c r="D1220" s="5"/>
      <c r="E1220" s="5"/>
      <c r="F1220" s="20"/>
      <c r="G1220" s="20"/>
      <c r="H1220" s="5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</row>
    <row r="1221" spans="4:48" x14ac:dyDescent="0.3">
      <c r="D1221" s="5"/>
      <c r="E1221" s="5"/>
      <c r="F1221" s="20"/>
      <c r="G1221" s="20"/>
      <c r="H1221" s="5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</row>
    <row r="1222" spans="4:48" x14ac:dyDescent="0.3">
      <c r="D1222" s="5"/>
      <c r="E1222" s="5"/>
      <c r="F1222" s="20"/>
      <c r="G1222" s="20"/>
      <c r="H1222" s="5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</row>
    <row r="1223" spans="4:48" x14ac:dyDescent="0.3">
      <c r="D1223" s="5"/>
      <c r="E1223" s="5"/>
      <c r="F1223" s="20"/>
      <c r="G1223" s="20"/>
      <c r="H1223" s="5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</row>
    <row r="1224" spans="4:48" x14ac:dyDescent="0.3">
      <c r="D1224" s="5"/>
      <c r="E1224" s="5"/>
      <c r="F1224" s="20"/>
      <c r="G1224" s="20"/>
      <c r="H1224" s="5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</row>
    <row r="1225" spans="4:48" x14ac:dyDescent="0.3">
      <c r="D1225" s="5"/>
      <c r="E1225" s="5"/>
      <c r="F1225" s="20"/>
      <c r="G1225" s="20"/>
      <c r="H1225" s="5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</row>
    <row r="1226" spans="4:48" x14ac:dyDescent="0.3">
      <c r="D1226" s="5"/>
      <c r="E1226" s="5"/>
      <c r="F1226" s="20"/>
      <c r="G1226" s="20"/>
      <c r="H1226" s="5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4"/>
      <c r="AG1226" s="4"/>
      <c r="AH1226" s="4"/>
      <c r="AI1226" s="4"/>
      <c r="AJ1226" s="4"/>
      <c r="AK1226" s="4"/>
      <c r="AL1226" s="4"/>
      <c r="AM1226" s="4"/>
      <c r="AN1226" s="4"/>
      <c r="AO1226" s="4"/>
      <c r="AP1226" s="4"/>
      <c r="AQ1226" s="4"/>
      <c r="AR1226" s="4"/>
      <c r="AS1226" s="4"/>
      <c r="AT1226" s="4"/>
      <c r="AU1226" s="4"/>
      <c r="AV1226" s="4"/>
    </row>
    <row r="1227" spans="4:48" x14ac:dyDescent="0.3">
      <c r="D1227" s="5"/>
      <c r="E1227" s="5"/>
      <c r="F1227" s="20"/>
      <c r="G1227" s="20"/>
      <c r="H1227" s="5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</row>
    <row r="1228" spans="4:48" x14ac:dyDescent="0.3">
      <c r="D1228" s="5"/>
      <c r="E1228" s="5"/>
      <c r="F1228" s="20"/>
      <c r="G1228" s="20"/>
      <c r="H1228" s="5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</row>
    <row r="1229" spans="4:48" x14ac:dyDescent="0.3">
      <c r="D1229" s="5"/>
      <c r="E1229" s="5"/>
      <c r="F1229" s="20"/>
      <c r="G1229" s="20"/>
      <c r="H1229" s="5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</row>
    <row r="1230" spans="4:48" x14ac:dyDescent="0.3">
      <c r="D1230" s="5"/>
      <c r="E1230" s="5"/>
      <c r="F1230" s="20"/>
      <c r="G1230" s="20"/>
      <c r="H1230" s="5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</row>
    <row r="1231" spans="4:48" x14ac:dyDescent="0.3">
      <c r="D1231" s="5"/>
      <c r="E1231" s="5"/>
      <c r="F1231" s="20"/>
      <c r="G1231" s="20"/>
      <c r="H1231" s="5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</row>
    <row r="1232" spans="4:48" x14ac:dyDescent="0.3">
      <c r="D1232" s="5"/>
      <c r="E1232" s="5"/>
      <c r="F1232" s="20"/>
      <c r="G1232" s="20"/>
      <c r="H1232" s="5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</row>
    <row r="1233" spans="4:48" x14ac:dyDescent="0.3">
      <c r="D1233" s="5"/>
      <c r="E1233" s="5"/>
      <c r="F1233" s="20"/>
      <c r="G1233" s="20"/>
      <c r="H1233" s="5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</row>
    <row r="1234" spans="4:48" x14ac:dyDescent="0.3">
      <c r="D1234" s="5"/>
      <c r="E1234" s="5"/>
      <c r="F1234" s="20"/>
      <c r="G1234" s="20"/>
      <c r="H1234" s="5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</row>
    <row r="1235" spans="4:48" x14ac:dyDescent="0.3">
      <c r="D1235" s="5"/>
      <c r="E1235" s="5"/>
      <c r="F1235" s="20"/>
      <c r="G1235" s="20"/>
      <c r="H1235" s="5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4"/>
      <c r="AG1235" s="4"/>
      <c r="AH1235" s="4"/>
      <c r="AI1235" s="4"/>
      <c r="AJ1235" s="4"/>
      <c r="AK1235" s="4"/>
      <c r="AL1235" s="4"/>
      <c r="AM1235" s="4"/>
      <c r="AN1235" s="4"/>
      <c r="AO1235" s="4"/>
      <c r="AP1235" s="4"/>
      <c r="AQ1235" s="4"/>
      <c r="AR1235" s="4"/>
      <c r="AS1235" s="4"/>
      <c r="AT1235" s="4"/>
      <c r="AU1235" s="4"/>
      <c r="AV1235" s="4"/>
    </row>
    <row r="1236" spans="4:48" x14ac:dyDescent="0.3">
      <c r="D1236" s="5"/>
      <c r="E1236" s="5"/>
      <c r="F1236" s="20"/>
      <c r="G1236" s="20"/>
      <c r="H1236" s="5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  <c r="AR1236" s="4"/>
      <c r="AS1236" s="4"/>
      <c r="AT1236" s="4"/>
      <c r="AU1236" s="4"/>
      <c r="AV1236" s="4"/>
    </row>
    <row r="1237" spans="4:48" x14ac:dyDescent="0.3">
      <c r="D1237" s="5"/>
      <c r="E1237" s="5"/>
      <c r="F1237" s="20"/>
      <c r="G1237" s="20"/>
      <c r="H1237" s="5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</row>
    <row r="1238" spans="4:48" x14ac:dyDescent="0.3">
      <c r="D1238" s="5"/>
      <c r="E1238" s="5"/>
      <c r="F1238" s="20"/>
      <c r="G1238" s="20"/>
      <c r="H1238" s="5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</row>
    <row r="1239" spans="4:48" x14ac:dyDescent="0.3">
      <c r="D1239" s="5"/>
      <c r="E1239" s="5"/>
      <c r="F1239" s="20"/>
      <c r="G1239" s="20"/>
      <c r="H1239" s="5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</row>
    <row r="1240" spans="4:48" x14ac:dyDescent="0.3">
      <c r="D1240" s="5"/>
      <c r="E1240" s="5"/>
      <c r="F1240" s="20"/>
      <c r="G1240" s="20"/>
      <c r="H1240" s="5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</row>
    <row r="1241" spans="4:48" x14ac:dyDescent="0.3">
      <c r="D1241" s="5"/>
      <c r="E1241" s="5"/>
      <c r="F1241" s="20"/>
      <c r="G1241" s="20"/>
      <c r="H1241" s="5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</row>
    <row r="1242" spans="4:48" x14ac:dyDescent="0.3">
      <c r="D1242" s="5"/>
      <c r="E1242" s="5"/>
      <c r="F1242" s="20"/>
      <c r="G1242" s="20"/>
      <c r="H1242" s="5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</row>
    <row r="1243" spans="4:48" x14ac:dyDescent="0.3">
      <c r="D1243" s="5"/>
      <c r="E1243" s="5"/>
      <c r="F1243" s="20"/>
      <c r="G1243" s="20"/>
      <c r="H1243" s="5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</row>
    <row r="1244" spans="4:48" x14ac:dyDescent="0.3">
      <c r="D1244" s="5"/>
      <c r="E1244" s="5"/>
      <c r="F1244" s="20"/>
      <c r="G1244" s="20"/>
      <c r="H1244" s="5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</row>
    <row r="1245" spans="4:48" x14ac:dyDescent="0.3">
      <c r="D1245" s="5"/>
      <c r="E1245" s="5"/>
      <c r="F1245" s="20"/>
      <c r="G1245" s="20"/>
      <c r="H1245" s="5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</row>
    <row r="1246" spans="4:48" x14ac:dyDescent="0.3">
      <c r="D1246" s="5"/>
      <c r="E1246" s="5"/>
      <c r="F1246" s="20"/>
      <c r="G1246" s="20"/>
      <c r="H1246" s="5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</row>
    <row r="1247" spans="4:48" x14ac:dyDescent="0.3">
      <c r="D1247" s="5"/>
      <c r="E1247" s="5"/>
      <c r="F1247" s="20"/>
      <c r="G1247" s="20"/>
      <c r="H1247" s="5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</row>
    <row r="1248" spans="4:48" x14ac:dyDescent="0.3">
      <c r="D1248" s="5"/>
      <c r="E1248" s="5"/>
      <c r="F1248" s="20"/>
      <c r="G1248" s="20"/>
      <c r="H1248" s="5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</row>
    <row r="1249" spans="4:48" x14ac:dyDescent="0.3">
      <c r="D1249" s="5"/>
      <c r="E1249" s="5"/>
      <c r="F1249" s="20"/>
      <c r="G1249" s="20"/>
      <c r="H1249" s="5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4"/>
      <c r="AG1249" s="4"/>
      <c r="AH1249" s="4"/>
      <c r="AI1249" s="4"/>
      <c r="AJ1249" s="4"/>
      <c r="AK1249" s="4"/>
      <c r="AL1249" s="4"/>
      <c r="AM1249" s="4"/>
      <c r="AN1249" s="4"/>
      <c r="AO1249" s="4"/>
      <c r="AP1249" s="4"/>
      <c r="AQ1249" s="4"/>
      <c r="AR1249" s="4"/>
      <c r="AS1249" s="4"/>
      <c r="AT1249" s="4"/>
      <c r="AU1249" s="4"/>
      <c r="AV1249" s="4"/>
    </row>
    <row r="1250" spans="4:48" x14ac:dyDescent="0.3">
      <c r="D1250" s="5"/>
      <c r="E1250" s="5"/>
      <c r="F1250" s="20"/>
      <c r="G1250" s="20"/>
      <c r="H1250" s="5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</row>
    <row r="1251" spans="4:48" x14ac:dyDescent="0.3">
      <c r="D1251" s="5"/>
      <c r="E1251" s="5"/>
      <c r="F1251" s="20"/>
      <c r="G1251" s="20"/>
      <c r="H1251" s="5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</row>
    <row r="1252" spans="4:48" x14ac:dyDescent="0.3">
      <c r="D1252" s="5"/>
      <c r="E1252" s="5"/>
      <c r="F1252" s="20"/>
      <c r="G1252" s="20"/>
      <c r="H1252" s="5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</row>
    <row r="1253" spans="4:48" x14ac:dyDescent="0.3">
      <c r="D1253" s="5"/>
      <c r="E1253" s="5"/>
      <c r="F1253" s="20"/>
      <c r="G1253" s="20"/>
      <c r="H1253" s="5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</row>
    <row r="1254" spans="4:48" x14ac:dyDescent="0.3">
      <c r="D1254" s="5"/>
      <c r="E1254" s="5"/>
      <c r="F1254" s="20"/>
      <c r="G1254" s="20"/>
      <c r="H1254" s="5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</row>
    <row r="1255" spans="4:48" x14ac:dyDescent="0.3">
      <c r="D1255" s="5"/>
      <c r="E1255" s="5"/>
      <c r="F1255" s="20"/>
      <c r="G1255" s="20"/>
      <c r="H1255" s="5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</row>
    <row r="1256" spans="4:48" x14ac:dyDescent="0.3">
      <c r="D1256" s="5"/>
      <c r="E1256" s="5"/>
      <c r="F1256" s="20"/>
      <c r="G1256" s="20"/>
      <c r="H1256" s="5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</row>
    <row r="1257" spans="4:48" x14ac:dyDescent="0.3">
      <c r="D1257" s="5"/>
      <c r="E1257" s="5"/>
      <c r="F1257" s="20"/>
      <c r="G1257" s="20"/>
      <c r="H1257" s="5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</row>
    <row r="1258" spans="4:48" x14ac:dyDescent="0.3">
      <c r="D1258" s="5"/>
      <c r="E1258" s="5"/>
      <c r="F1258" s="20"/>
      <c r="G1258" s="20"/>
      <c r="H1258" s="5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  <c r="AR1258" s="4"/>
      <c r="AS1258" s="4"/>
      <c r="AT1258" s="4"/>
      <c r="AU1258" s="4"/>
      <c r="AV1258" s="4"/>
    </row>
    <row r="1259" spans="4:48" x14ac:dyDescent="0.3">
      <c r="D1259" s="5"/>
      <c r="E1259" s="5"/>
      <c r="F1259" s="20"/>
      <c r="G1259" s="20"/>
      <c r="H1259" s="5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</row>
    <row r="1260" spans="4:48" x14ac:dyDescent="0.3">
      <c r="D1260" s="5"/>
      <c r="E1260" s="5"/>
      <c r="F1260" s="20"/>
      <c r="G1260" s="20"/>
      <c r="H1260" s="5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</row>
    <row r="1261" spans="4:48" x14ac:dyDescent="0.3">
      <c r="D1261" s="5"/>
      <c r="E1261" s="5"/>
      <c r="F1261" s="20"/>
      <c r="G1261" s="20"/>
      <c r="H1261" s="5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</row>
    <row r="1262" spans="4:48" x14ac:dyDescent="0.3">
      <c r="D1262" s="5"/>
      <c r="E1262" s="5"/>
      <c r="F1262" s="20"/>
      <c r="G1262" s="20"/>
      <c r="H1262" s="5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</row>
    <row r="1263" spans="4:48" x14ac:dyDescent="0.3">
      <c r="D1263" s="5"/>
      <c r="E1263" s="5"/>
      <c r="F1263" s="20"/>
      <c r="G1263" s="20"/>
      <c r="H1263" s="5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</row>
    <row r="1264" spans="4:48" x14ac:dyDescent="0.3">
      <c r="D1264" s="5"/>
      <c r="E1264" s="5"/>
      <c r="F1264" s="20"/>
      <c r="G1264" s="20"/>
      <c r="H1264" s="5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</row>
    <row r="1265" spans="4:48" x14ac:dyDescent="0.3">
      <c r="D1265" s="5"/>
      <c r="E1265" s="5"/>
      <c r="F1265" s="20"/>
      <c r="G1265" s="20"/>
      <c r="H1265" s="5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</row>
    <row r="1266" spans="4:48" x14ac:dyDescent="0.3">
      <c r="D1266" s="5"/>
      <c r="E1266" s="5"/>
      <c r="F1266" s="20"/>
      <c r="G1266" s="20"/>
      <c r="H1266" s="5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</row>
    <row r="1267" spans="4:48" x14ac:dyDescent="0.3">
      <c r="D1267" s="5"/>
      <c r="E1267" s="5"/>
      <c r="F1267" s="20"/>
      <c r="G1267" s="20"/>
      <c r="H1267" s="5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</row>
    <row r="1268" spans="4:48" x14ac:dyDescent="0.3">
      <c r="D1268" s="5"/>
      <c r="E1268" s="5"/>
      <c r="F1268" s="20"/>
      <c r="G1268" s="20"/>
      <c r="H1268" s="5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</row>
    <row r="1269" spans="4:48" x14ac:dyDescent="0.3">
      <c r="D1269" s="5"/>
      <c r="E1269" s="5"/>
      <c r="F1269" s="20"/>
      <c r="G1269" s="20"/>
      <c r="H1269" s="5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</row>
    <row r="1270" spans="4:48" x14ac:dyDescent="0.3">
      <c r="D1270" s="5"/>
      <c r="E1270" s="5"/>
      <c r="F1270" s="20"/>
      <c r="G1270" s="20"/>
      <c r="H1270" s="5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</row>
    <row r="1271" spans="4:48" x14ac:dyDescent="0.3">
      <c r="D1271" s="5"/>
      <c r="E1271" s="5"/>
      <c r="F1271" s="20"/>
      <c r="G1271" s="20"/>
      <c r="H1271" s="5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</row>
    <row r="1272" spans="4:48" x14ac:dyDescent="0.3">
      <c r="D1272" s="5"/>
      <c r="E1272" s="5"/>
      <c r="F1272" s="20"/>
      <c r="G1272" s="20"/>
      <c r="H1272" s="5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</row>
    <row r="1273" spans="4:48" x14ac:dyDescent="0.3">
      <c r="D1273" s="5"/>
      <c r="E1273" s="5"/>
      <c r="F1273" s="20"/>
      <c r="G1273" s="20"/>
      <c r="H1273" s="5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</row>
    <row r="1274" spans="4:48" x14ac:dyDescent="0.3">
      <c r="D1274" s="5"/>
      <c r="E1274" s="5"/>
      <c r="F1274" s="20"/>
      <c r="G1274" s="20"/>
      <c r="H1274" s="5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</row>
    <row r="1275" spans="4:48" x14ac:dyDescent="0.3">
      <c r="D1275" s="5"/>
      <c r="E1275" s="5"/>
      <c r="F1275" s="20"/>
      <c r="G1275" s="20"/>
      <c r="H1275" s="5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4"/>
      <c r="T1275" s="4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</row>
    <row r="1276" spans="4:48" x14ac:dyDescent="0.3">
      <c r="D1276" s="5"/>
      <c r="E1276" s="5"/>
      <c r="F1276" s="20"/>
      <c r="G1276" s="20"/>
      <c r="H1276" s="5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4"/>
      <c r="T1276" s="4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</row>
    <row r="1277" spans="4:48" x14ac:dyDescent="0.3">
      <c r="D1277" s="5"/>
      <c r="E1277" s="5"/>
      <c r="F1277" s="20"/>
      <c r="G1277" s="20"/>
      <c r="H1277" s="5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4"/>
      <c r="T1277" s="4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</row>
    <row r="1278" spans="4:48" x14ac:dyDescent="0.3">
      <c r="D1278" s="5"/>
      <c r="E1278" s="5"/>
      <c r="F1278" s="20"/>
      <c r="G1278" s="20"/>
      <c r="H1278" s="5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</row>
    <row r="1279" spans="4:48" x14ac:dyDescent="0.3">
      <c r="D1279" s="5"/>
      <c r="E1279" s="5"/>
      <c r="F1279" s="20"/>
      <c r="G1279" s="20"/>
      <c r="H1279" s="5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4"/>
      <c r="T1279" s="4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</row>
    <row r="1280" spans="4:48" x14ac:dyDescent="0.3">
      <c r="D1280" s="5"/>
      <c r="E1280" s="5"/>
      <c r="F1280" s="20"/>
      <c r="G1280" s="20"/>
      <c r="H1280" s="5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4"/>
      <c r="T1280" s="4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</row>
    <row r="1281" spans="4:48" x14ac:dyDescent="0.3">
      <c r="D1281" s="5"/>
      <c r="E1281" s="5"/>
      <c r="F1281" s="20"/>
      <c r="G1281" s="20"/>
      <c r="H1281" s="5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4"/>
      <c r="T1281" s="4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</row>
    <row r="1282" spans="4:48" x14ac:dyDescent="0.3">
      <c r="D1282" s="5"/>
      <c r="E1282" s="5"/>
      <c r="F1282" s="20"/>
      <c r="G1282" s="20"/>
      <c r="H1282" s="5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4"/>
      <c r="T1282" s="4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</row>
    <row r="1283" spans="4:48" x14ac:dyDescent="0.3">
      <c r="D1283" s="5"/>
      <c r="E1283" s="5"/>
      <c r="F1283" s="20"/>
      <c r="G1283" s="20"/>
      <c r="H1283" s="5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4"/>
      <c r="T1283" s="4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</row>
    <row r="1284" spans="4:48" x14ac:dyDescent="0.3">
      <c r="D1284" s="5"/>
      <c r="E1284" s="5"/>
      <c r="F1284" s="20"/>
      <c r="G1284" s="20"/>
      <c r="H1284" s="5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4"/>
      <c r="T1284" s="4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</row>
    <row r="1285" spans="4:48" x14ac:dyDescent="0.3">
      <c r="D1285" s="5"/>
      <c r="E1285" s="5"/>
      <c r="F1285" s="20"/>
      <c r="G1285" s="20"/>
      <c r="H1285" s="5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4"/>
      <c r="T1285" s="4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</row>
    <row r="1286" spans="4:48" x14ac:dyDescent="0.3">
      <c r="D1286" s="5"/>
      <c r="E1286" s="5"/>
      <c r="F1286" s="20"/>
      <c r="G1286" s="20"/>
      <c r="H1286" s="5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4"/>
      <c r="T1286" s="4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</row>
    <row r="1287" spans="4:48" x14ac:dyDescent="0.3">
      <c r="D1287" s="5"/>
      <c r="E1287" s="5"/>
      <c r="F1287" s="20"/>
      <c r="G1287" s="20"/>
      <c r="H1287" s="5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4"/>
      <c r="T1287" s="4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</row>
    <row r="1288" spans="4:48" x14ac:dyDescent="0.3">
      <c r="D1288" s="5"/>
      <c r="E1288" s="5"/>
      <c r="F1288" s="20"/>
      <c r="G1288" s="20"/>
      <c r="H1288" s="5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4"/>
      <c r="T1288" s="4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</row>
    <row r="1289" spans="4:48" x14ac:dyDescent="0.3">
      <c r="D1289" s="5"/>
      <c r="E1289" s="5"/>
      <c r="F1289" s="20"/>
      <c r="G1289" s="20"/>
      <c r="H1289" s="5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4"/>
      <c r="T1289" s="4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</row>
    <row r="1290" spans="4:48" x14ac:dyDescent="0.3">
      <c r="D1290" s="5"/>
      <c r="E1290" s="5"/>
      <c r="F1290" s="20"/>
      <c r="G1290" s="20"/>
      <c r="H1290" s="5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4"/>
      <c r="T1290" s="4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</row>
    <row r="1291" spans="4:48" x14ac:dyDescent="0.3">
      <c r="D1291" s="5"/>
      <c r="E1291" s="5"/>
      <c r="F1291" s="20"/>
      <c r="G1291" s="20"/>
      <c r="H1291" s="5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4"/>
      <c r="T1291" s="4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</row>
    <row r="1292" spans="4:48" x14ac:dyDescent="0.3">
      <c r="D1292" s="5"/>
      <c r="E1292" s="5"/>
      <c r="F1292" s="20"/>
      <c r="G1292" s="20"/>
      <c r="H1292" s="5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4"/>
      <c r="T1292" s="4"/>
      <c r="U1292" s="4"/>
      <c r="V1292" s="4"/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</row>
    <row r="1293" spans="4:48" x14ac:dyDescent="0.3">
      <c r="D1293" s="5"/>
      <c r="E1293" s="5"/>
      <c r="F1293" s="20"/>
      <c r="G1293" s="20"/>
      <c r="H1293" s="5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4"/>
      <c r="T1293" s="4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</row>
    <row r="1294" spans="4:48" x14ac:dyDescent="0.3">
      <c r="D1294" s="5"/>
      <c r="E1294" s="5"/>
      <c r="F1294" s="20"/>
      <c r="G1294" s="20"/>
      <c r="H1294" s="5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4"/>
      <c r="T1294" s="4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</row>
    <row r="1295" spans="4:48" x14ac:dyDescent="0.3">
      <c r="D1295" s="5"/>
      <c r="E1295" s="5"/>
      <c r="F1295" s="20"/>
      <c r="G1295" s="20"/>
      <c r="H1295" s="5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4"/>
      <c r="T1295" s="4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</row>
    <row r="1296" spans="4:48" x14ac:dyDescent="0.3">
      <c r="D1296" s="5"/>
      <c r="E1296" s="5"/>
      <c r="F1296" s="20"/>
      <c r="G1296" s="20"/>
      <c r="H1296" s="5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4"/>
      <c r="T1296" s="4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</row>
    <row r="1297" spans="4:48" x14ac:dyDescent="0.3">
      <c r="D1297" s="5"/>
      <c r="E1297" s="5"/>
      <c r="F1297" s="20"/>
      <c r="G1297" s="20"/>
      <c r="H1297" s="5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4"/>
      <c r="T1297" s="4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</row>
    <row r="1298" spans="4:48" x14ac:dyDescent="0.3">
      <c r="D1298" s="5"/>
      <c r="E1298" s="5"/>
      <c r="F1298" s="20"/>
      <c r="G1298" s="20"/>
      <c r="H1298" s="5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4"/>
      <c r="T1298" s="4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</row>
    <row r="1299" spans="4:48" x14ac:dyDescent="0.3">
      <c r="D1299" s="5"/>
      <c r="E1299" s="5"/>
      <c r="F1299" s="20"/>
      <c r="G1299" s="20"/>
      <c r="H1299" s="5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4"/>
      <c r="T1299" s="4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</row>
    <row r="1300" spans="4:48" x14ac:dyDescent="0.3">
      <c r="D1300" s="5"/>
      <c r="E1300" s="5"/>
      <c r="F1300" s="20"/>
      <c r="G1300" s="20"/>
      <c r="H1300" s="5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4"/>
      <c r="T1300" s="4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</row>
    <row r="1301" spans="4:48" x14ac:dyDescent="0.3">
      <c r="D1301" s="5"/>
      <c r="E1301" s="5"/>
      <c r="F1301" s="20"/>
      <c r="G1301" s="20"/>
      <c r="H1301" s="5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4"/>
      <c r="T1301" s="4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</row>
    <row r="1302" spans="4:48" x14ac:dyDescent="0.3">
      <c r="D1302" s="5"/>
      <c r="E1302" s="5"/>
      <c r="F1302" s="20"/>
      <c r="G1302" s="20"/>
      <c r="H1302" s="5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4"/>
      <c r="T1302" s="4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</row>
    <row r="1303" spans="4:48" x14ac:dyDescent="0.3">
      <c r="D1303" s="5"/>
      <c r="E1303" s="5"/>
      <c r="F1303" s="20"/>
      <c r="G1303" s="20"/>
      <c r="H1303" s="5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4"/>
      <c r="T1303" s="4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</row>
    <row r="1304" spans="4:48" x14ac:dyDescent="0.3">
      <c r="D1304" s="5"/>
      <c r="E1304" s="5"/>
      <c r="F1304" s="20"/>
      <c r="G1304" s="20"/>
      <c r="H1304" s="5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4"/>
      <c r="T1304" s="4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</row>
    <row r="1305" spans="4:48" x14ac:dyDescent="0.3">
      <c r="D1305" s="5"/>
      <c r="E1305" s="5"/>
      <c r="F1305" s="20"/>
      <c r="G1305" s="20"/>
      <c r="H1305" s="5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4"/>
      <c r="T1305" s="4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</row>
    <row r="1306" spans="4:48" x14ac:dyDescent="0.3">
      <c r="D1306" s="5"/>
      <c r="E1306" s="5"/>
      <c r="F1306" s="20"/>
      <c r="G1306" s="20"/>
      <c r="H1306" s="5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4"/>
      <c r="T1306" s="4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</row>
    <row r="1307" spans="4:48" x14ac:dyDescent="0.3">
      <c r="D1307" s="5"/>
      <c r="E1307" s="5"/>
      <c r="F1307" s="20"/>
      <c r="G1307" s="20"/>
      <c r="H1307" s="5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4"/>
      <c r="T1307" s="4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</row>
    <row r="1308" spans="4:48" x14ac:dyDescent="0.3">
      <c r="D1308" s="5"/>
      <c r="E1308" s="5"/>
      <c r="F1308" s="20"/>
      <c r="G1308" s="20"/>
      <c r="H1308" s="5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</row>
    <row r="1309" spans="4:48" x14ac:dyDescent="0.3">
      <c r="D1309" s="5"/>
      <c r="E1309" s="5"/>
      <c r="F1309" s="20"/>
      <c r="G1309" s="20"/>
      <c r="H1309" s="5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4"/>
      <c r="T1309" s="4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</row>
    <row r="1310" spans="4:48" x14ac:dyDescent="0.3">
      <c r="D1310" s="5"/>
      <c r="E1310" s="5"/>
      <c r="F1310" s="20"/>
      <c r="G1310" s="20"/>
      <c r="H1310" s="5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4"/>
      <c r="T1310" s="4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</row>
    <row r="1311" spans="4:48" x14ac:dyDescent="0.3">
      <c r="D1311" s="5"/>
      <c r="E1311" s="5"/>
      <c r="F1311" s="20"/>
      <c r="G1311" s="20"/>
      <c r="H1311" s="5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4"/>
      <c r="T1311" s="4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</row>
    <row r="1312" spans="4:48" x14ac:dyDescent="0.3">
      <c r="D1312" s="5"/>
      <c r="E1312" s="5"/>
      <c r="F1312" s="20"/>
      <c r="G1312" s="20"/>
      <c r="H1312" s="5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4"/>
      <c r="T1312" s="4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</row>
    <row r="1313" spans="4:48" x14ac:dyDescent="0.3">
      <c r="D1313" s="5"/>
      <c r="E1313" s="5"/>
      <c r="F1313" s="20"/>
      <c r="G1313" s="20"/>
      <c r="H1313" s="5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4"/>
      <c r="T1313" s="4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</row>
    <row r="1314" spans="4:48" x14ac:dyDescent="0.3">
      <c r="D1314" s="5"/>
      <c r="E1314" s="5"/>
      <c r="F1314" s="20"/>
      <c r="G1314" s="20"/>
      <c r="H1314" s="5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4"/>
      <c r="T1314" s="4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</row>
    <row r="1315" spans="4:48" x14ac:dyDescent="0.3">
      <c r="D1315" s="5"/>
      <c r="E1315" s="5"/>
      <c r="F1315" s="20"/>
      <c r="G1315" s="20"/>
      <c r="H1315" s="5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4"/>
      <c r="T1315" s="4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</row>
    <row r="1316" spans="4:48" x14ac:dyDescent="0.3">
      <c r="D1316" s="5"/>
      <c r="E1316" s="5"/>
      <c r="F1316" s="20"/>
      <c r="G1316" s="20"/>
      <c r="H1316" s="5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4"/>
      <c r="T1316" s="4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  <c r="AJ1316" s="4"/>
      <c r="AK1316" s="4"/>
      <c r="AL1316" s="4"/>
      <c r="AM1316" s="4"/>
      <c r="AN1316" s="4"/>
      <c r="AO1316" s="4"/>
      <c r="AP1316" s="4"/>
      <c r="AQ1316" s="4"/>
      <c r="AR1316" s="4"/>
      <c r="AS1316" s="4"/>
      <c r="AT1316" s="4"/>
      <c r="AU1316" s="4"/>
      <c r="AV1316" s="4"/>
    </row>
    <row r="1317" spans="4:48" x14ac:dyDescent="0.3">
      <c r="D1317" s="5"/>
      <c r="E1317" s="5"/>
      <c r="F1317" s="20"/>
      <c r="G1317" s="20"/>
      <c r="H1317" s="5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4"/>
      <c r="T1317" s="4"/>
      <c r="U1317" s="4"/>
      <c r="V1317" s="4"/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  <c r="AG1317" s="4"/>
      <c r="AH1317" s="4"/>
      <c r="AI1317" s="4"/>
      <c r="AJ1317" s="4"/>
      <c r="AK1317" s="4"/>
      <c r="AL1317" s="4"/>
      <c r="AM1317" s="4"/>
      <c r="AN1317" s="4"/>
      <c r="AO1317" s="4"/>
      <c r="AP1317" s="4"/>
      <c r="AQ1317" s="4"/>
      <c r="AR1317" s="4"/>
      <c r="AS1317" s="4"/>
      <c r="AT1317" s="4"/>
      <c r="AU1317" s="4"/>
      <c r="AV1317" s="4"/>
    </row>
    <row r="1318" spans="4:48" x14ac:dyDescent="0.3">
      <c r="D1318" s="5"/>
      <c r="E1318" s="5"/>
      <c r="F1318" s="20"/>
      <c r="G1318" s="20"/>
      <c r="H1318" s="5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4"/>
      <c r="T1318" s="4"/>
      <c r="U1318" s="4"/>
      <c r="V1318" s="4"/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  <c r="AR1318" s="4"/>
      <c r="AS1318" s="4"/>
      <c r="AT1318" s="4"/>
      <c r="AU1318" s="4"/>
      <c r="AV1318" s="4"/>
    </row>
    <row r="1319" spans="4:48" x14ac:dyDescent="0.3">
      <c r="D1319" s="5"/>
      <c r="E1319" s="5"/>
      <c r="F1319" s="20"/>
      <c r="G1319" s="20"/>
      <c r="H1319" s="5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4"/>
      <c r="T1319" s="4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</row>
    <row r="1320" spans="4:48" x14ac:dyDescent="0.3">
      <c r="D1320" s="5"/>
      <c r="E1320" s="5"/>
      <c r="F1320" s="20"/>
      <c r="G1320" s="20"/>
      <c r="H1320" s="5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4"/>
      <c r="T1320" s="4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</row>
    <row r="1321" spans="4:48" x14ac:dyDescent="0.3">
      <c r="D1321" s="5"/>
      <c r="E1321" s="5"/>
      <c r="F1321" s="20"/>
      <c r="G1321" s="20"/>
      <c r="H1321" s="5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4"/>
      <c r="T1321" s="4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</row>
    <row r="1322" spans="4:48" x14ac:dyDescent="0.3">
      <c r="D1322" s="5"/>
      <c r="E1322" s="5"/>
      <c r="F1322" s="20"/>
      <c r="G1322" s="20"/>
      <c r="H1322" s="5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4"/>
      <c r="T1322" s="4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</row>
    <row r="1323" spans="4:48" x14ac:dyDescent="0.3">
      <c r="D1323" s="5"/>
      <c r="E1323" s="5"/>
      <c r="F1323" s="20"/>
      <c r="G1323" s="20"/>
      <c r="H1323" s="5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4"/>
      <c r="T1323" s="4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</row>
    <row r="1324" spans="4:48" x14ac:dyDescent="0.3">
      <c r="D1324" s="5"/>
      <c r="E1324" s="5"/>
      <c r="F1324" s="20"/>
      <c r="G1324" s="20"/>
      <c r="H1324" s="5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4"/>
      <c r="T1324" s="4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</row>
    <row r="1325" spans="4:48" x14ac:dyDescent="0.3">
      <c r="D1325" s="5"/>
      <c r="E1325" s="5"/>
      <c r="F1325" s="20"/>
      <c r="G1325" s="20"/>
      <c r="H1325" s="5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4"/>
      <c r="T1325" s="4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</row>
    <row r="1326" spans="4:48" x14ac:dyDescent="0.3">
      <c r="D1326" s="5"/>
      <c r="E1326" s="5"/>
      <c r="F1326" s="20"/>
      <c r="G1326" s="20"/>
      <c r="H1326" s="5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4"/>
      <c r="T1326" s="4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</row>
    <row r="1327" spans="4:48" x14ac:dyDescent="0.3">
      <c r="D1327" s="5"/>
      <c r="E1327" s="5"/>
      <c r="F1327" s="20"/>
      <c r="G1327" s="20"/>
      <c r="H1327" s="5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4"/>
      <c r="T1327" s="4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</row>
    <row r="1328" spans="4:48" x14ac:dyDescent="0.3">
      <c r="D1328" s="5"/>
      <c r="E1328" s="5"/>
      <c r="F1328" s="20"/>
      <c r="G1328" s="20"/>
      <c r="H1328" s="5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4"/>
      <c r="T1328" s="4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</row>
    <row r="1329" spans="4:48" x14ac:dyDescent="0.3">
      <c r="D1329" s="5"/>
      <c r="E1329" s="5"/>
      <c r="F1329" s="20"/>
      <c r="G1329" s="20"/>
      <c r="H1329" s="5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4"/>
      <c r="T1329" s="4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</row>
    <row r="1330" spans="4:48" x14ac:dyDescent="0.3">
      <c r="D1330" s="5"/>
      <c r="E1330" s="5"/>
      <c r="F1330" s="20"/>
      <c r="G1330" s="20"/>
      <c r="H1330" s="5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4"/>
      <c r="T1330" s="4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</row>
    <row r="1331" spans="4:48" x14ac:dyDescent="0.3">
      <c r="D1331" s="5"/>
      <c r="E1331" s="5"/>
      <c r="F1331" s="20"/>
      <c r="G1331" s="20"/>
      <c r="H1331" s="5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4"/>
      <c r="T1331" s="4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</row>
    <row r="1332" spans="4:48" x14ac:dyDescent="0.3">
      <c r="D1332" s="5"/>
      <c r="E1332" s="5"/>
      <c r="F1332" s="20"/>
      <c r="G1332" s="20"/>
      <c r="H1332" s="5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4"/>
      <c r="T1332" s="4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</row>
    <row r="1333" spans="4:48" x14ac:dyDescent="0.3">
      <c r="D1333" s="5"/>
      <c r="E1333" s="5"/>
      <c r="F1333" s="20"/>
      <c r="G1333" s="20"/>
      <c r="H1333" s="5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4"/>
      <c r="T1333" s="4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</row>
    <row r="1334" spans="4:48" x14ac:dyDescent="0.3">
      <c r="D1334" s="5"/>
      <c r="E1334" s="5"/>
      <c r="F1334" s="20"/>
      <c r="G1334" s="20"/>
      <c r="H1334" s="5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4"/>
      <c r="T1334" s="4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</row>
    <row r="1335" spans="4:48" x14ac:dyDescent="0.3">
      <c r="D1335" s="5"/>
      <c r="E1335" s="5"/>
      <c r="F1335" s="20"/>
      <c r="G1335" s="20"/>
      <c r="H1335" s="5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4"/>
      <c r="T1335" s="4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</row>
    <row r="1336" spans="4:48" x14ac:dyDescent="0.3">
      <c r="D1336" s="5"/>
      <c r="E1336" s="5"/>
      <c r="F1336" s="20"/>
      <c r="G1336" s="20"/>
      <c r="H1336" s="5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4"/>
      <c r="T1336" s="4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</row>
    <row r="1337" spans="4:48" x14ac:dyDescent="0.3">
      <c r="D1337" s="5"/>
      <c r="E1337" s="5"/>
      <c r="F1337" s="20"/>
      <c r="G1337" s="20"/>
      <c r="H1337" s="5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4"/>
      <c r="T1337" s="4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</row>
    <row r="1338" spans="4:48" x14ac:dyDescent="0.3">
      <c r="D1338" s="5"/>
      <c r="E1338" s="5"/>
      <c r="F1338" s="20"/>
      <c r="G1338" s="20"/>
      <c r="H1338" s="5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4"/>
      <c r="T1338" s="4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</row>
    <row r="1339" spans="4:48" x14ac:dyDescent="0.3">
      <c r="D1339" s="5"/>
      <c r="E1339" s="5"/>
      <c r="F1339" s="20"/>
      <c r="G1339" s="20"/>
      <c r="H1339" s="5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4"/>
      <c r="T1339" s="4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</row>
    <row r="1340" spans="4:48" x14ac:dyDescent="0.3">
      <c r="D1340" s="5"/>
      <c r="E1340" s="5"/>
      <c r="F1340" s="20"/>
      <c r="G1340" s="20"/>
      <c r="H1340" s="5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4"/>
      <c r="T1340" s="4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</row>
    <row r="1341" spans="4:48" x14ac:dyDescent="0.3">
      <c r="D1341" s="5"/>
      <c r="E1341" s="5"/>
      <c r="F1341" s="20"/>
      <c r="G1341" s="20"/>
      <c r="H1341" s="5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4"/>
      <c r="T1341" s="4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</row>
    <row r="1342" spans="4:48" x14ac:dyDescent="0.3">
      <c r="D1342" s="5"/>
      <c r="E1342" s="5"/>
      <c r="F1342" s="20"/>
      <c r="G1342" s="20"/>
      <c r="H1342" s="5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4"/>
      <c r="T1342" s="4"/>
      <c r="U1342" s="4"/>
      <c r="V1342" s="4"/>
      <c r="W1342" s="4"/>
      <c r="X1342" s="4"/>
      <c r="Y1342" s="4"/>
      <c r="Z1342" s="4"/>
      <c r="AA1342" s="4"/>
      <c r="AB1342" s="4"/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</row>
    <row r="1343" spans="4:48" x14ac:dyDescent="0.3">
      <c r="D1343" s="5"/>
      <c r="E1343" s="5"/>
      <c r="F1343" s="20"/>
      <c r="G1343" s="20"/>
      <c r="H1343" s="5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4"/>
      <c r="T1343" s="4"/>
      <c r="U1343" s="4"/>
      <c r="V1343" s="4"/>
      <c r="W1343" s="4"/>
      <c r="X1343" s="4"/>
      <c r="Y1343" s="4"/>
      <c r="Z1343" s="4"/>
      <c r="AA1343" s="4"/>
      <c r="AB1343" s="4"/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</row>
    <row r="1344" spans="4:48" x14ac:dyDescent="0.3">
      <c r="D1344" s="5"/>
      <c r="E1344" s="5"/>
      <c r="F1344" s="20"/>
      <c r="G1344" s="20"/>
      <c r="H1344" s="5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4"/>
      <c r="T1344" s="4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</row>
    <row r="1345" spans="4:48" x14ac:dyDescent="0.3">
      <c r="D1345" s="5"/>
      <c r="E1345" s="5"/>
      <c r="F1345" s="20"/>
      <c r="G1345" s="20"/>
      <c r="H1345" s="5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4"/>
      <c r="T1345" s="4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</row>
    <row r="1346" spans="4:48" x14ac:dyDescent="0.3">
      <c r="D1346" s="5"/>
      <c r="E1346" s="5"/>
      <c r="F1346" s="20"/>
      <c r="G1346" s="20"/>
      <c r="H1346" s="5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4"/>
      <c r="T1346" s="4"/>
      <c r="U1346" s="4"/>
      <c r="V1346" s="4"/>
      <c r="W1346" s="4"/>
      <c r="X1346" s="4"/>
      <c r="Y1346" s="4"/>
      <c r="Z1346" s="4"/>
      <c r="AA1346" s="4"/>
      <c r="AB1346" s="4"/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</row>
    <row r="1347" spans="4:48" x14ac:dyDescent="0.3">
      <c r="D1347" s="5"/>
      <c r="E1347" s="5"/>
      <c r="F1347" s="20"/>
      <c r="G1347" s="20"/>
      <c r="H1347" s="5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4"/>
      <c r="T1347" s="4"/>
      <c r="U1347" s="4"/>
      <c r="V1347" s="4"/>
      <c r="W1347" s="4"/>
      <c r="X1347" s="4"/>
      <c r="Y1347" s="4"/>
      <c r="Z1347" s="4"/>
      <c r="AA1347" s="4"/>
      <c r="AB1347" s="4"/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</row>
    <row r="1348" spans="4:48" x14ac:dyDescent="0.3">
      <c r="D1348" s="5"/>
      <c r="E1348" s="5"/>
      <c r="F1348" s="20"/>
      <c r="G1348" s="20"/>
      <c r="H1348" s="5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4"/>
      <c r="T1348" s="4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</row>
    <row r="1349" spans="4:48" x14ac:dyDescent="0.3">
      <c r="D1349" s="5"/>
      <c r="E1349" s="5"/>
      <c r="F1349" s="20"/>
      <c r="G1349" s="20"/>
      <c r="H1349" s="5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4"/>
      <c r="T1349" s="4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</row>
    <row r="1350" spans="4:48" x14ac:dyDescent="0.3">
      <c r="D1350" s="5"/>
      <c r="E1350" s="5"/>
      <c r="F1350" s="20"/>
      <c r="G1350" s="20"/>
      <c r="H1350" s="5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4"/>
      <c r="T1350" s="4"/>
      <c r="U1350" s="4"/>
      <c r="V1350" s="4"/>
      <c r="W1350" s="4"/>
      <c r="X1350" s="4"/>
      <c r="Y1350" s="4"/>
      <c r="Z1350" s="4"/>
      <c r="AA1350" s="4"/>
      <c r="AB1350" s="4"/>
      <c r="AC1350" s="4"/>
      <c r="AD1350" s="4"/>
      <c r="AE1350" s="4"/>
      <c r="AF1350" s="4"/>
      <c r="AG1350" s="4"/>
      <c r="AH1350" s="4"/>
      <c r="AI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</row>
    <row r="1351" spans="4:48" x14ac:dyDescent="0.3">
      <c r="D1351" s="5"/>
      <c r="E1351" s="5"/>
      <c r="F1351" s="20"/>
      <c r="G1351" s="20"/>
      <c r="H1351" s="5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4"/>
      <c r="T1351" s="4"/>
      <c r="U1351" s="4"/>
      <c r="V1351" s="4"/>
      <c r="W1351" s="4"/>
      <c r="X1351" s="4"/>
      <c r="Y1351" s="4"/>
      <c r="Z1351" s="4"/>
      <c r="AA1351" s="4"/>
      <c r="AB1351" s="4"/>
      <c r="AC1351" s="4"/>
      <c r="AD1351" s="4"/>
      <c r="AE1351" s="4"/>
      <c r="AF1351" s="4"/>
      <c r="AG1351" s="4"/>
      <c r="AH1351" s="4"/>
      <c r="AI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</row>
    <row r="1352" spans="4:48" x14ac:dyDescent="0.3">
      <c r="D1352" s="5"/>
      <c r="E1352" s="5"/>
      <c r="F1352" s="20"/>
      <c r="G1352" s="20"/>
      <c r="H1352" s="5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4"/>
      <c r="T1352" s="4"/>
      <c r="U1352" s="4"/>
      <c r="V1352" s="4"/>
      <c r="W1352" s="4"/>
      <c r="X1352" s="4"/>
      <c r="Y1352" s="4"/>
      <c r="Z1352" s="4"/>
      <c r="AA1352" s="4"/>
      <c r="AB1352" s="4"/>
      <c r="AC1352" s="4"/>
      <c r="AD1352" s="4"/>
      <c r="AE1352" s="4"/>
      <c r="AF1352" s="4"/>
      <c r="AG1352" s="4"/>
      <c r="AH1352" s="4"/>
      <c r="AI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</row>
    <row r="1353" spans="4:48" x14ac:dyDescent="0.3">
      <c r="D1353" s="5"/>
      <c r="E1353" s="5"/>
      <c r="F1353" s="20"/>
      <c r="G1353" s="20"/>
      <c r="H1353" s="5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4"/>
      <c r="T1353" s="4"/>
      <c r="U1353" s="4"/>
      <c r="V1353" s="4"/>
      <c r="W1353" s="4"/>
      <c r="X1353" s="4"/>
      <c r="Y1353" s="4"/>
      <c r="Z1353" s="4"/>
      <c r="AA1353" s="4"/>
      <c r="AB1353" s="4"/>
      <c r="AC1353" s="4"/>
      <c r="AD1353" s="4"/>
      <c r="AE1353" s="4"/>
      <c r="AF1353" s="4"/>
      <c r="AG1353" s="4"/>
      <c r="AH1353" s="4"/>
      <c r="AI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</row>
    <row r="1354" spans="4:48" x14ac:dyDescent="0.3">
      <c r="D1354" s="5"/>
      <c r="E1354" s="5"/>
      <c r="F1354" s="20"/>
      <c r="G1354" s="20"/>
      <c r="H1354" s="5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4"/>
      <c r="T1354" s="4"/>
      <c r="U1354" s="4"/>
      <c r="V1354" s="4"/>
      <c r="W1354" s="4"/>
      <c r="X1354" s="4"/>
      <c r="Y1354" s="4"/>
      <c r="Z1354" s="4"/>
      <c r="AA1354" s="4"/>
      <c r="AB1354" s="4"/>
      <c r="AC1354" s="4"/>
      <c r="AD1354" s="4"/>
      <c r="AE1354" s="4"/>
      <c r="AF1354" s="4"/>
      <c r="AG1354" s="4"/>
      <c r="AH1354" s="4"/>
      <c r="AI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</row>
    <row r="1355" spans="4:48" x14ac:dyDescent="0.3">
      <c r="D1355" s="5"/>
      <c r="E1355" s="5"/>
      <c r="F1355" s="20"/>
      <c r="G1355" s="20"/>
      <c r="H1355" s="5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4"/>
      <c r="T1355" s="4"/>
      <c r="U1355" s="4"/>
      <c r="V1355" s="4"/>
      <c r="W1355" s="4"/>
      <c r="X1355" s="4"/>
      <c r="Y1355" s="4"/>
      <c r="Z1355" s="4"/>
      <c r="AA1355" s="4"/>
      <c r="AB1355" s="4"/>
      <c r="AC1355" s="4"/>
      <c r="AD1355" s="4"/>
      <c r="AE1355" s="4"/>
      <c r="AF1355" s="4"/>
      <c r="AG1355" s="4"/>
      <c r="AH1355" s="4"/>
      <c r="AI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</row>
    <row r="1356" spans="4:48" x14ac:dyDescent="0.3">
      <c r="D1356" s="5"/>
      <c r="E1356" s="5"/>
      <c r="F1356" s="20"/>
      <c r="G1356" s="20"/>
      <c r="H1356" s="5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4"/>
      <c r="T1356" s="4"/>
      <c r="U1356" s="4"/>
      <c r="V1356" s="4"/>
      <c r="W1356" s="4"/>
      <c r="X1356" s="4"/>
      <c r="Y1356" s="4"/>
      <c r="Z1356" s="4"/>
      <c r="AA1356" s="4"/>
      <c r="AB1356" s="4"/>
      <c r="AC1356" s="4"/>
      <c r="AD1356" s="4"/>
      <c r="AE1356" s="4"/>
      <c r="AF1356" s="4"/>
      <c r="AG1356" s="4"/>
      <c r="AH1356" s="4"/>
      <c r="AI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</row>
    <row r="1357" spans="4:48" x14ac:dyDescent="0.3">
      <c r="D1357" s="5"/>
      <c r="E1357" s="5"/>
      <c r="F1357" s="20"/>
      <c r="G1357" s="20"/>
      <c r="H1357" s="5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4"/>
      <c r="T1357" s="4"/>
      <c r="U1357" s="4"/>
      <c r="V1357" s="4"/>
      <c r="W1357" s="4"/>
      <c r="X1357" s="4"/>
      <c r="Y1357" s="4"/>
      <c r="Z1357" s="4"/>
      <c r="AA1357" s="4"/>
      <c r="AB1357" s="4"/>
      <c r="AC1357" s="4"/>
      <c r="AD1357" s="4"/>
      <c r="AE1357" s="4"/>
      <c r="AF1357" s="4"/>
      <c r="AG1357" s="4"/>
      <c r="AH1357" s="4"/>
      <c r="AI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</row>
    <row r="1358" spans="4:48" x14ac:dyDescent="0.3">
      <c r="D1358" s="5"/>
      <c r="E1358" s="5"/>
      <c r="F1358" s="20"/>
      <c r="G1358" s="20"/>
      <c r="H1358" s="5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4"/>
      <c r="T1358" s="4"/>
      <c r="U1358" s="4"/>
      <c r="V1358" s="4"/>
      <c r="W1358" s="4"/>
      <c r="X1358" s="4"/>
      <c r="Y1358" s="4"/>
      <c r="Z1358" s="4"/>
      <c r="AA1358" s="4"/>
      <c r="AB1358" s="4"/>
      <c r="AC1358" s="4"/>
      <c r="AD1358" s="4"/>
      <c r="AE1358" s="4"/>
      <c r="AF1358" s="4"/>
      <c r="AG1358" s="4"/>
      <c r="AH1358" s="4"/>
      <c r="AI1358" s="4"/>
      <c r="AJ1358" s="4"/>
      <c r="AK1358" s="4"/>
      <c r="AL1358" s="4"/>
      <c r="AM1358" s="4"/>
      <c r="AN1358" s="4"/>
      <c r="AO1358" s="4"/>
      <c r="AP1358" s="4"/>
      <c r="AQ1358" s="4"/>
      <c r="AR1358" s="4"/>
      <c r="AS1358" s="4"/>
      <c r="AT1358" s="4"/>
      <c r="AU1358" s="4"/>
      <c r="AV1358" s="4"/>
    </row>
    <row r="1359" spans="4:48" x14ac:dyDescent="0.3">
      <c r="D1359" s="5"/>
      <c r="E1359" s="5"/>
      <c r="F1359" s="20"/>
      <c r="G1359" s="20"/>
      <c r="H1359" s="5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4"/>
      <c r="T1359" s="4"/>
      <c r="U1359" s="4"/>
      <c r="V1359" s="4"/>
      <c r="W1359" s="4"/>
      <c r="X1359" s="4"/>
      <c r="Y1359" s="4"/>
      <c r="Z1359" s="4"/>
      <c r="AA1359" s="4"/>
      <c r="AB1359" s="4"/>
      <c r="AC1359" s="4"/>
      <c r="AD1359" s="4"/>
      <c r="AE1359" s="4"/>
      <c r="AF1359" s="4"/>
      <c r="AG1359" s="4"/>
      <c r="AH1359" s="4"/>
      <c r="AI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</row>
    <row r="1360" spans="4:48" x14ac:dyDescent="0.3">
      <c r="D1360" s="5"/>
      <c r="E1360" s="5"/>
      <c r="F1360" s="20"/>
      <c r="G1360" s="20"/>
      <c r="H1360" s="5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4"/>
      <c r="T1360" s="4"/>
      <c r="U1360" s="4"/>
      <c r="V1360" s="4"/>
      <c r="W1360" s="4"/>
      <c r="X1360" s="4"/>
      <c r="Y1360" s="4"/>
      <c r="Z1360" s="4"/>
      <c r="AA1360" s="4"/>
      <c r="AB1360" s="4"/>
      <c r="AC1360" s="4"/>
      <c r="AD1360" s="4"/>
      <c r="AE1360" s="4"/>
      <c r="AF1360" s="4"/>
      <c r="AG1360" s="4"/>
      <c r="AH1360" s="4"/>
      <c r="AI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</row>
    <row r="1361" spans="4:48" x14ac:dyDescent="0.3">
      <c r="D1361" s="5"/>
      <c r="E1361" s="5"/>
      <c r="F1361" s="20"/>
      <c r="G1361" s="20"/>
      <c r="H1361" s="5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4"/>
      <c r="T1361" s="4"/>
      <c r="U1361" s="4"/>
      <c r="V1361" s="4"/>
      <c r="W1361" s="4"/>
      <c r="X1361" s="4"/>
      <c r="Y1361" s="4"/>
      <c r="Z1361" s="4"/>
      <c r="AA1361" s="4"/>
      <c r="AB1361" s="4"/>
      <c r="AC1361" s="4"/>
      <c r="AD1361" s="4"/>
      <c r="AE1361" s="4"/>
      <c r="AF1361" s="4"/>
      <c r="AG1361" s="4"/>
      <c r="AH1361" s="4"/>
      <c r="AI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</row>
    <row r="1362" spans="4:48" x14ac:dyDescent="0.3">
      <c r="D1362" s="5"/>
      <c r="E1362" s="5"/>
      <c r="F1362" s="20"/>
      <c r="G1362" s="20"/>
      <c r="H1362" s="5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4"/>
      <c r="T1362" s="4"/>
      <c r="U1362" s="4"/>
      <c r="V1362" s="4"/>
      <c r="W1362" s="4"/>
      <c r="X1362" s="4"/>
      <c r="Y1362" s="4"/>
      <c r="Z1362" s="4"/>
      <c r="AA1362" s="4"/>
      <c r="AB1362" s="4"/>
      <c r="AC1362" s="4"/>
      <c r="AD1362" s="4"/>
      <c r="AE1362" s="4"/>
      <c r="AF1362" s="4"/>
      <c r="AG1362" s="4"/>
      <c r="AH1362" s="4"/>
      <c r="AI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</row>
    <row r="1363" spans="4:48" x14ac:dyDescent="0.3">
      <c r="D1363" s="5"/>
      <c r="E1363" s="5"/>
      <c r="F1363" s="20"/>
      <c r="G1363" s="20"/>
      <c r="H1363" s="5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4"/>
      <c r="T1363" s="4"/>
      <c r="U1363" s="4"/>
      <c r="V1363" s="4"/>
      <c r="W1363" s="4"/>
      <c r="X1363" s="4"/>
      <c r="Y1363" s="4"/>
      <c r="Z1363" s="4"/>
      <c r="AA1363" s="4"/>
      <c r="AB1363" s="4"/>
      <c r="AC1363" s="4"/>
      <c r="AD1363" s="4"/>
      <c r="AE1363" s="4"/>
      <c r="AF1363" s="4"/>
      <c r="AG1363" s="4"/>
      <c r="AH1363" s="4"/>
      <c r="AI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</row>
    <row r="1364" spans="4:48" x14ac:dyDescent="0.3">
      <c r="D1364" s="5"/>
      <c r="E1364" s="5"/>
      <c r="F1364" s="20"/>
      <c r="G1364" s="20"/>
      <c r="H1364" s="5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4"/>
      <c r="T1364" s="4"/>
      <c r="U1364" s="4"/>
      <c r="V1364" s="4"/>
      <c r="W1364" s="4"/>
      <c r="X1364" s="4"/>
      <c r="Y1364" s="4"/>
      <c r="Z1364" s="4"/>
      <c r="AA1364" s="4"/>
      <c r="AB1364" s="4"/>
      <c r="AC1364" s="4"/>
      <c r="AD1364" s="4"/>
      <c r="AE1364" s="4"/>
      <c r="AF1364" s="4"/>
      <c r="AG1364" s="4"/>
      <c r="AH1364" s="4"/>
      <c r="AI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</row>
    <row r="1365" spans="4:48" x14ac:dyDescent="0.3">
      <c r="D1365" s="5"/>
      <c r="E1365" s="5"/>
      <c r="F1365" s="20"/>
      <c r="G1365" s="20"/>
      <c r="H1365" s="5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4"/>
      <c r="T1365" s="4"/>
      <c r="U1365" s="4"/>
      <c r="V1365" s="4"/>
      <c r="W1365" s="4"/>
      <c r="X1365" s="4"/>
      <c r="Y1365" s="4"/>
      <c r="Z1365" s="4"/>
      <c r="AA1365" s="4"/>
      <c r="AB1365" s="4"/>
      <c r="AC1365" s="4"/>
      <c r="AD1365" s="4"/>
      <c r="AE1365" s="4"/>
      <c r="AF1365" s="4"/>
      <c r="AG1365" s="4"/>
      <c r="AH1365" s="4"/>
      <c r="AI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</row>
    <row r="1366" spans="4:48" x14ac:dyDescent="0.3">
      <c r="D1366" s="5"/>
      <c r="E1366" s="5"/>
      <c r="F1366" s="20"/>
      <c r="G1366" s="20"/>
      <c r="H1366" s="5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4"/>
      <c r="T1366" s="4"/>
      <c r="U1366" s="4"/>
      <c r="V1366" s="4"/>
      <c r="W1366" s="4"/>
      <c r="X1366" s="4"/>
      <c r="Y1366" s="4"/>
      <c r="Z1366" s="4"/>
      <c r="AA1366" s="4"/>
      <c r="AB1366" s="4"/>
      <c r="AC1366" s="4"/>
      <c r="AD1366" s="4"/>
      <c r="AE1366" s="4"/>
      <c r="AF1366" s="4"/>
      <c r="AG1366" s="4"/>
      <c r="AH1366" s="4"/>
      <c r="AI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</row>
    <row r="1367" spans="4:48" x14ac:dyDescent="0.3">
      <c r="D1367" s="5"/>
      <c r="E1367" s="5"/>
      <c r="F1367" s="20"/>
      <c r="G1367" s="20"/>
      <c r="H1367" s="5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4"/>
      <c r="T1367" s="4"/>
      <c r="U1367" s="4"/>
      <c r="V1367" s="4"/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  <c r="AG1367" s="4"/>
      <c r="AH1367" s="4"/>
      <c r="AI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</row>
    <row r="1368" spans="4:48" x14ac:dyDescent="0.3">
      <c r="D1368" s="5"/>
      <c r="E1368" s="5"/>
      <c r="F1368" s="20"/>
      <c r="G1368" s="20"/>
      <c r="H1368" s="5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4"/>
      <c r="T1368" s="4"/>
      <c r="U1368" s="4"/>
      <c r="V1368" s="4"/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  <c r="AG1368" s="4"/>
      <c r="AH1368" s="4"/>
      <c r="AI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</row>
    <row r="1369" spans="4:48" x14ac:dyDescent="0.3">
      <c r="D1369" s="5"/>
      <c r="E1369" s="5"/>
      <c r="F1369" s="20"/>
      <c r="G1369" s="20"/>
      <c r="H1369" s="5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4"/>
      <c r="T1369" s="4"/>
      <c r="U1369" s="4"/>
      <c r="V1369" s="4"/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  <c r="AG1369" s="4"/>
      <c r="AH1369" s="4"/>
      <c r="AI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</row>
    <row r="1370" spans="4:48" x14ac:dyDescent="0.3">
      <c r="D1370" s="5"/>
      <c r="E1370" s="5"/>
      <c r="F1370" s="20"/>
      <c r="G1370" s="20"/>
      <c r="H1370" s="5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4"/>
      <c r="T1370" s="4"/>
      <c r="U1370" s="4"/>
      <c r="V1370" s="4"/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  <c r="AG1370" s="4"/>
      <c r="AH1370" s="4"/>
      <c r="AI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</row>
    <row r="1371" spans="4:48" x14ac:dyDescent="0.3">
      <c r="D1371" s="5"/>
      <c r="E1371" s="5"/>
      <c r="F1371" s="20"/>
      <c r="G1371" s="20"/>
      <c r="H1371" s="5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4"/>
      <c r="T1371" s="4"/>
      <c r="U1371" s="4"/>
      <c r="V1371" s="4"/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  <c r="AG1371" s="4"/>
      <c r="AH1371" s="4"/>
      <c r="AI1371" s="4"/>
      <c r="AJ1371" s="4"/>
      <c r="AK1371" s="4"/>
      <c r="AL1371" s="4"/>
      <c r="AM1371" s="4"/>
      <c r="AN1371" s="4"/>
      <c r="AO1371" s="4"/>
      <c r="AP1371" s="4"/>
      <c r="AQ1371" s="4"/>
      <c r="AR1371" s="4"/>
      <c r="AS1371" s="4"/>
      <c r="AT1371" s="4"/>
      <c r="AU1371" s="4"/>
      <c r="AV1371" s="4"/>
    </row>
    <row r="1372" spans="4:48" x14ac:dyDescent="0.3">
      <c r="D1372" s="5"/>
      <c r="E1372" s="5"/>
      <c r="F1372" s="20"/>
      <c r="G1372" s="20"/>
      <c r="H1372" s="5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4"/>
      <c r="T1372" s="4"/>
      <c r="U1372" s="4"/>
      <c r="V1372" s="4"/>
      <c r="W1372" s="4"/>
      <c r="X1372" s="4"/>
      <c r="Y1372" s="4"/>
      <c r="Z1372" s="4"/>
      <c r="AA1372" s="4"/>
      <c r="AB1372" s="4"/>
      <c r="AC1372" s="4"/>
      <c r="AD1372" s="4"/>
      <c r="AE1372" s="4"/>
      <c r="AF1372" s="4"/>
      <c r="AG1372" s="4"/>
      <c r="AH1372" s="4"/>
      <c r="AI1372" s="4"/>
      <c r="AJ1372" s="4"/>
      <c r="AK1372" s="4"/>
      <c r="AL1372" s="4"/>
      <c r="AM1372" s="4"/>
      <c r="AN1372" s="4"/>
      <c r="AO1372" s="4"/>
      <c r="AP1372" s="4"/>
      <c r="AQ1372" s="4"/>
      <c r="AR1372" s="4"/>
      <c r="AS1372" s="4"/>
      <c r="AT1372" s="4"/>
      <c r="AU1372" s="4"/>
      <c r="AV1372" s="4"/>
    </row>
    <row r="1373" spans="4:48" x14ac:dyDescent="0.3">
      <c r="D1373" s="5"/>
      <c r="E1373" s="5"/>
      <c r="F1373" s="20"/>
      <c r="G1373" s="20"/>
      <c r="H1373" s="5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4"/>
      <c r="T1373" s="4"/>
      <c r="U1373" s="4"/>
      <c r="V1373" s="4"/>
      <c r="W1373" s="4"/>
      <c r="X1373" s="4"/>
      <c r="Y1373" s="4"/>
      <c r="Z1373" s="4"/>
      <c r="AA1373" s="4"/>
      <c r="AB1373" s="4"/>
      <c r="AC1373" s="4"/>
      <c r="AD1373" s="4"/>
      <c r="AE1373" s="4"/>
      <c r="AF1373" s="4"/>
      <c r="AG1373" s="4"/>
      <c r="AH1373" s="4"/>
      <c r="AI1373" s="4"/>
      <c r="AJ1373" s="4"/>
      <c r="AK1373" s="4"/>
      <c r="AL1373" s="4"/>
      <c r="AM1373" s="4"/>
      <c r="AN1373" s="4"/>
      <c r="AO1373" s="4"/>
      <c r="AP1373" s="4"/>
      <c r="AQ1373" s="4"/>
      <c r="AR1373" s="4"/>
      <c r="AS1373" s="4"/>
      <c r="AT1373" s="4"/>
      <c r="AU1373" s="4"/>
      <c r="AV1373" s="4"/>
    </row>
    <row r="1374" spans="4:48" x14ac:dyDescent="0.3">
      <c r="D1374" s="5"/>
      <c r="E1374" s="5"/>
      <c r="F1374" s="20"/>
      <c r="G1374" s="20"/>
      <c r="H1374" s="5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4"/>
      <c r="T1374" s="4"/>
      <c r="U1374" s="4"/>
      <c r="V1374" s="4"/>
      <c r="W1374" s="4"/>
      <c r="X1374" s="4"/>
      <c r="Y1374" s="4"/>
      <c r="Z1374" s="4"/>
      <c r="AA1374" s="4"/>
      <c r="AB1374" s="4"/>
      <c r="AC1374" s="4"/>
      <c r="AD1374" s="4"/>
      <c r="AE1374" s="4"/>
      <c r="AF1374" s="4"/>
      <c r="AG1374" s="4"/>
      <c r="AH1374" s="4"/>
      <c r="AI1374" s="4"/>
      <c r="AJ1374" s="4"/>
      <c r="AK1374" s="4"/>
      <c r="AL1374" s="4"/>
      <c r="AM1374" s="4"/>
      <c r="AN1374" s="4"/>
      <c r="AO1374" s="4"/>
      <c r="AP1374" s="4"/>
      <c r="AQ1374" s="4"/>
      <c r="AR1374" s="4"/>
      <c r="AS1374" s="4"/>
      <c r="AT1374" s="4"/>
      <c r="AU1374" s="4"/>
      <c r="AV1374" s="4"/>
    </row>
    <row r="1375" spans="4:48" x14ac:dyDescent="0.3">
      <c r="D1375" s="5"/>
      <c r="E1375" s="5"/>
      <c r="F1375" s="20"/>
      <c r="G1375" s="20"/>
      <c r="H1375" s="5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4"/>
      <c r="T1375" s="4"/>
      <c r="U1375" s="4"/>
      <c r="V1375" s="4"/>
      <c r="W1375" s="4"/>
      <c r="X1375" s="4"/>
      <c r="Y1375" s="4"/>
      <c r="Z1375" s="4"/>
      <c r="AA1375" s="4"/>
      <c r="AB1375" s="4"/>
      <c r="AC1375" s="4"/>
      <c r="AD1375" s="4"/>
      <c r="AE1375" s="4"/>
      <c r="AF1375" s="4"/>
      <c r="AG1375" s="4"/>
      <c r="AH1375" s="4"/>
      <c r="AI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</row>
    <row r="1376" spans="4:48" x14ac:dyDescent="0.3">
      <c r="D1376" s="5"/>
      <c r="E1376" s="5"/>
      <c r="F1376" s="20"/>
      <c r="G1376" s="20"/>
      <c r="H1376" s="5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4"/>
      <c r="T1376" s="4"/>
      <c r="U1376" s="4"/>
      <c r="V1376" s="4"/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  <c r="AG1376" s="4"/>
      <c r="AH1376" s="4"/>
      <c r="AI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</row>
    <row r="1377" spans="4:48" x14ac:dyDescent="0.3">
      <c r="D1377" s="5"/>
      <c r="E1377" s="5"/>
      <c r="F1377" s="20"/>
      <c r="G1377" s="20"/>
      <c r="H1377" s="5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4"/>
      <c r="T1377" s="4"/>
      <c r="U1377" s="4"/>
      <c r="V1377" s="4"/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  <c r="AG1377" s="4"/>
      <c r="AH1377" s="4"/>
      <c r="AI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</row>
    <row r="1378" spans="4:48" x14ac:dyDescent="0.3">
      <c r="D1378" s="5"/>
      <c r="E1378" s="5"/>
      <c r="F1378" s="20"/>
      <c r="G1378" s="20"/>
      <c r="H1378" s="5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4"/>
      <c r="T1378" s="4"/>
      <c r="U1378" s="4"/>
      <c r="V1378" s="4"/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  <c r="AG1378" s="4"/>
      <c r="AH1378" s="4"/>
      <c r="AI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</row>
    <row r="1379" spans="4:48" x14ac:dyDescent="0.3">
      <c r="D1379" s="5"/>
      <c r="E1379" s="5"/>
      <c r="F1379" s="20"/>
      <c r="G1379" s="20"/>
      <c r="H1379" s="5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4"/>
      <c r="T1379" s="4"/>
      <c r="U1379" s="4"/>
      <c r="V1379" s="4"/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  <c r="AG1379" s="4"/>
      <c r="AH1379" s="4"/>
      <c r="AI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</row>
    <row r="1380" spans="4:48" x14ac:dyDescent="0.3">
      <c r="D1380" s="5"/>
      <c r="E1380" s="5"/>
      <c r="F1380" s="20"/>
      <c r="G1380" s="20"/>
      <c r="H1380" s="5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4"/>
      <c r="T1380" s="4"/>
      <c r="U1380" s="4"/>
      <c r="V1380" s="4"/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  <c r="AG1380" s="4"/>
      <c r="AH1380" s="4"/>
      <c r="AI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</row>
    <row r="1381" spans="4:48" x14ac:dyDescent="0.3">
      <c r="D1381" s="5"/>
      <c r="E1381" s="5"/>
      <c r="F1381" s="20"/>
      <c r="G1381" s="20"/>
      <c r="H1381" s="5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4"/>
      <c r="T1381" s="4"/>
      <c r="U1381" s="4"/>
      <c r="V1381" s="4"/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  <c r="AG1381" s="4"/>
      <c r="AH1381" s="4"/>
      <c r="AI1381" s="4"/>
      <c r="AJ1381" s="4"/>
      <c r="AK1381" s="4"/>
      <c r="AL1381" s="4"/>
      <c r="AM1381" s="4"/>
      <c r="AN1381" s="4"/>
      <c r="AO1381" s="4"/>
      <c r="AP1381" s="4"/>
      <c r="AQ1381" s="4"/>
      <c r="AR1381" s="4"/>
      <c r="AS1381" s="4"/>
      <c r="AT1381" s="4"/>
      <c r="AU1381" s="4"/>
      <c r="AV1381" s="4"/>
    </row>
    <row r="1382" spans="4:48" x14ac:dyDescent="0.3">
      <c r="D1382" s="5"/>
      <c r="E1382" s="5"/>
      <c r="F1382" s="20"/>
      <c r="G1382" s="20"/>
      <c r="H1382" s="5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4"/>
      <c r="T1382" s="4"/>
      <c r="U1382" s="4"/>
      <c r="V1382" s="4"/>
      <c r="W1382" s="4"/>
      <c r="X1382" s="4"/>
      <c r="Y1382" s="4"/>
      <c r="Z1382" s="4"/>
      <c r="AA1382" s="4"/>
      <c r="AB1382" s="4"/>
      <c r="AC1382" s="4"/>
      <c r="AD1382" s="4"/>
      <c r="AE1382" s="4"/>
      <c r="AF1382" s="4"/>
      <c r="AG1382" s="4"/>
      <c r="AH1382" s="4"/>
      <c r="AI1382" s="4"/>
      <c r="AJ1382" s="4"/>
      <c r="AK1382" s="4"/>
      <c r="AL1382" s="4"/>
      <c r="AM1382" s="4"/>
      <c r="AN1382" s="4"/>
      <c r="AO1382" s="4"/>
      <c r="AP1382" s="4"/>
      <c r="AQ1382" s="4"/>
      <c r="AR1382" s="4"/>
      <c r="AS1382" s="4"/>
      <c r="AT1382" s="4"/>
      <c r="AU1382" s="4"/>
      <c r="AV1382" s="4"/>
    </row>
    <row r="1383" spans="4:48" x14ac:dyDescent="0.3">
      <c r="D1383" s="5"/>
      <c r="E1383" s="5"/>
      <c r="F1383" s="20"/>
      <c r="G1383" s="20"/>
      <c r="H1383" s="5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4"/>
      <c r="T1383" s="4"/>
      <c r="U1383" s="4"/>
      <c r="V1383" s="4"/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  <c r="AG1383" s="4"/>
      <c r="AH1383" s="4"/>
      <c r="AI1383" s="4"/>
      <c r="AJ1383" s="4"/>
      <c r="AK1383" s="4"/>
      <c r="AL1383" s="4"/>
      <c r="AM1383" s="4"/>
      <c r="AN1383" s="4"/>
      <c r="AO1383" s="4"/>
      <c r="AP1383" s="4"/>
      <c r="AQ1383" s="4"/>
      <c r="AR1383" s="4"/>
      <c r="AS1383" s="4"/>
      <c r="AT1383" s="4"/>
      <c r="AU1383" s="4"/>
      <c r="AV1383" s="4"/>
    </row>
    <row r="1384" spans="4:48" x14ac:dyDescent="0.3">
      <c r="D1384" s="5"/>
      <c r="E1384" s="5"/>
      <c r="F1384" s="20"/>
      <c r="G1384" s="20"/>
      <c r="H1384" s="5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4"/>
      <c r="T1384" s="4"/>
      <c r="U1384" s="4"/>
      <c r="V1384" s="4"/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  <c r="AG1384" s="4"/>
      <c r="AH1384" s="4"/>
      <c r="AI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</row>
    <row r="1385" spans="4:48" x14ac:dyDescent="0.3">
      <c r="D1385" s="5"/>
      <c r="E1385" s="5"/>
      <c r="F1385" s="20"/>
      <c r="G1385" s="20"/>
      <c r="H1385" s="5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4"/>
      <c r="T1385" s="4"/>
      <c r="U1385" s="4"/>
      <c r="V1385" s="4"/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  <c r="AG1385" s="4"/>
      <c r="AH1385" s="4"/>
      <c r="AI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</row>
    <row r="1386" spans="4:48" x14ac:dyDescent="0.3">
      <c r="D1386" s="5"/>
      <c r="E1386" s="5"/>
      <c r="F1386" s="20"/>
      <c r="G1386" s="20"/>
      <c r="H1386" s="5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4"/>
      <c r="T1386" s="4"/>
      <c r="U1386" s="4"/>
      <c r="V1386" s="4"/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  <c r="AG1386" s="4"/>
      <c r="AH1386" s="4"/>
      <c r="AI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</row>
    <row r="1387" spans="4:48" x14ac:dyDescent="0.3">
      <c r="D1387" s="5"/>
      <c r="E1387" s="5"/>
      <c r="F1387" s="20"/>
      <c r="G1387" s="20"/>
      <c r="H1387" s="5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4"/>
      <c r="T1387" s="4"/>
      <c r="U1387" s="4"/>
      <c r="V1387" s="4"/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  <c r="AG1387" s="4"/>
      <c r="AH1387" s="4"/>
      <c r="AI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</row>
    <row r="1388" spans="4:48" x14ac:dyDescent="0.3">
      <c r="D1388" s="5"/>
      <c r="E1388" s="5"/>
      <c r="F1388" s="20"/>
      <c r="G1388" s="20"/>
      <c r="H1388" s="5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4"/>
      <c r="T1388" s="4"/>
      <c r="U1388" s="4"/>
      <c r="V1388" s="4"/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  <c r="AG1388" s="4"/>
      <c r="AH1388" s="4"/>
      <c r="AI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</row>
    <row r="1389" spans="4:48" x14ac:dyDescent="0.3">
      <c r="D1389" s="5"/>
      <c r="E1389" s="5"/>
      <c r="F1389" s="20"/>
      <c r="G1389" s="20"/>
      <c r="H1389" s="5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4"/>
      <c r="T1389" s="4"/>
      <c r="U1389" s="4"/>
      <c r="V1389" s="4"/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  <c r="AG1389" s="4"/>
      <c r="AH1389" s="4"/>
      <c r="AI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</row>
    <row r="1390" spans="4:48" x14ac:dyDescent="0.3">
      <c r="D1390" s="5"/>
      <c r="E1390" s="5"/>
      <c r="F1390" s="20"/>
      <c r="G1390" s="20"/>
      <c r="H1390" s="5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4"/>
      <c r="T1390" s="4"/>
      <c r="U1390" s="4"/>
      <c r="V1390" s="4"/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  <c r="AG1390" s="4"/>
      <c r="AH1390" s="4"/>
      <c r="AI1390" s="4"/>
      <c r="AJ1390" s="4"/>
      <c r="AK1390" s="4"/>
      <c r="AL1390" s="4"/>
      <c r="AM1390" s="4"/>
      <c r="AN1390" s="4"/>
      <c r="AO1390" s="4"/>
      <c r="AP1390" s="4"/>
      <c r="AQ1390" s="4"/>
      <c r="AR1390" s="4"/>
      <c r="AS1390" s="4"/>
      <c r="AT1390" s="4"/>
      <c r="AU1390" s="4"/>
      <c r="AV1390" s="4"/>
    </row>
    <row r="1391" spans="4:48" x14ac:dyDescent="0.3">
      <c r="D1391" s="5"/>
      <c r="E1391" s="5"/>
      <c r="F1391" s="20"/>
      <c r="G1391" s="20"/>
      <c r="H1391" s="5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4"/>
      <c r="T1391" s="4"/>
      <c r="U1391" s="4"/>
      <c r="V1391" s="4"/>
      <c r="W1391" s="4"/>
      <c r="X1391" s="4"/>
      <c r="Y1391" s="4"/>
      <c r="Z1391" s="4"/>
      <c r="AA1391" s="4"/>
      <c r="AB1391" s="4"/>
      <c r="AC1391" s="4"/>
      <c r="AD1391" s="4"/>
      <c r="AE1391" s="4"/>
      <c r="AF1391" s="4"/>
      <c r="AG1391" s="4"/>
      <c r="AH1391" s="4"/>
      <c r="AI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</row>
    <row r="1392" spans="4:48" x14ac:dyDescent="0.3">
      <c r="D1392" s="5"/>
      <c r="E1392" s="5"/>
      <c r="F1392" s="20"/>
      <c r="G1392" s="20"/>
      <c r="H1392" s="5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4"/>
      <c r="T1392" s="4"/>
      <c r="U1392" s="4"/>
      <c r="V1392" s="4"/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  <c r="AG1392" s="4"/>
      <c r="AH1392" s="4"/>
      <c r="AI1392" s="4"/>
      <c r="AJ1392" s="4"/>
      <c r="AK1392" s="4"/>
      <c r="AL1392" s="4"/>
      <c r="AM1392" s="4"/>
      <c r="AN1392" s="4"/>
      <c r="AO1392" s="4"/>
      <c r="AP1392" s="4"/>
      <c r="AQ1392" s="4"/>
      <c r="AR1392" s="4"/>
      <c r="AS1392" s="4"/>
      <c r="AT1392" s="4"/>
      <c r="AU1392" s="4"/>
      <c r="AV1392" s="4"/>
    </row>
    <row r="1393" spans="4:48" x14ac:dyDescent="0.3">
      <c r="D1393" s="5"/>
      <c r="E1393" s="5"/>
      <c r="F1393" s="20"/>
      <c r="G1393" s="20"/>
      <c r="H1393" s="5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4"/>
      <c r="T1393" s="4"/>
      <c r="U1393" s="4"/>
      <c r="V1393" s="4"/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  <c r="AG1393" s="4"/>
      <c r="AH1393" s="4"/>
      <c r="AI1393" s="4"/>
      <c r="AJ1393" s="4"/>
      <c r="AK1393" s="4"/>
      <c r="AL1393" s="4"/>
      <c r="AM1393" s="4"/>
      <c r="AN1393" s="4"/>
      <c r="AO1393" s="4"/>
      <c r="AP1393" s="4"/>
      <c r="AQ1393" s="4"/>
      <c r="AR1393" s="4"/>
      <c r="AS1393" s="4"/>
      <c r="AT1393" s="4"/>
      <c r="AU1393" s="4"/>
      <c r="AV1393" s="4"/>
    </row>
    <row r="1394" spans="4:48" x14ac:dyDescent="0.3">
      <c r="D1394" s="5"/>
      <c r="E1394" s="5"/>
      <c r="F1394" s="20"/>
      <c r="G1394" s="20"/>
      <c r="H1394" s="5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4"/>
      <c r="T1394" s="4"/>
      <c r="U1394" s="4"/>
      <c r="V1394" s="4"/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  <c r="AG1394" s="4"/>
      <c r="AH1394" s="4"/>
      <c r="AI1394" s="4"/>
      <c r="AJ1394" s="4"/>
      <c r="AK1394" s="4"/>
      <c r="AL1394" s="4"/>
      <c r="AM1394" s="4"/>
      <c r="AN1394" s="4"/>
      <c r="AO1394" s="4"/>
      <c r="AP1394" s="4"/>
      <c r="AQ1394" s="4"/>
      <c r="AR1394" s="4"/>
      <c r="AS1394" s="4"/>
      <c r="AT1394" s="4"/>
      <c r="AU1394" s="4"/>
      <c r="AV1394" s="4"/>
    </row>
    <row r="1395" spans="4:48" x14ac:dyDescent="0.3">
      <c r="D1395" s="5"/>
      <c r="E1395" s="5"/>
      <c r="F1395" s="20"/>
      <c r="G1395" s="20"/>
      <c r="H1395" s="5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4"/>
      <c r="T1395" s="4"/>
      <c r="U1395" s="4"/>
      <c r="V1395" s="4"/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  <c r="AG1395" s="4"/>
      <c r="AH1395" s="4"/>
      <c r="AI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</row>
    <row r="1396" spans="4:48" x14ac:dyDescent="0.3">
      <c r="D1396" s="5"/>
      <c r="E1396" s="5"/>
      <c r="F1396" s="20"/>
      <c r="G1396" s="20"/>
      <c r="H1396" s="5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4"/>
      <c r="T1396" s="4"/>
      <c r="U1396" s="4"/>
      <c r="V1396" s="4"/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  <c r="AG1396" s="4"/>
      <c r="AH1396" s="4"/>
      <c r="AI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</row>
    <row r="1397" spans="4:48" x14ac:dyDescent="0.3">
      <c r="D1397" s="5"/>
      <c r="E1397" s="5"/>
      <c r="F1397" s="20"/>
      <c r="G1397" s="20"/>
      <c r="H1397" s="5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4"/>
      <c r="T1397" s="4"/>
      <c r="U1397" s="4"/>
      <c r="V1397" s="4"/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  <c r="AG1397" s="4"/>
      <c r="AH1397" s="4"/>
      <c r="AI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</row>
    <row r="1398" spans="4:48" x14ac:dyDescent="0.3">
      <c r="D1398" s="5"/>
      <c r="E1398" s="5"/>
      <c r="F1398" s="20"/>
      <c r="G1398" s="20"/>
      <c r="H1398" s="5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4"/>
      <c r="T1398" s="4"/>
      <c r="U1398" s="4"/>
      <c r="V1398" s="4"/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  <c r="AG1398" s="4"/>
      <c r="AH1398" s="4"/>
      <c r="AI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</row>
    <row r="1399" spans="4:48" x14ac:dyDescent="0.3">
      <c r="D1399" s="5"/>
      <c r="E1399" s="5"/>
      <c r="F1399" s="20"/>
      <c r="G1399" s="20"/>
      <c r="H1399" s="5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4"/>
      <c r="T1399" s="4"/>
      <c r="U1399" s="4"/>
      <c r="V1399" s="4"/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  <c r="AG1399" s="4"/>
      <c r="AH1399" s="4"/>
      <c r="AI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</row>
    <row r="1400" spans="4:48" x14ac:dyDescent="0.3">
      <c r="D1400" s="5"/>
      <c r="E1400" s="5"/>
      <c r="F1400" s="20"/>
      <c r="G1400" s="20"/>
      <c r="H1400" s="5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4"/>
      <c r="T1400" s="4"/>
      <c r="U1400" s="4"/>
      <c r="V1400" s="4"/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  <c r="AG1400" s="4"/>
      <c r="AH1400" s="4"/>
      <c r="AI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</row>
    <row r="1401" spans="4:48" x14ac:dyDescent="0.3">
      <c r="D1401" s="5"/>
      <c r="E1401" s="5"/>
      <c r="F1401" s="20"/>
      <c r="G1401" s="20"/>
      <c r="H1401" s="5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4"/>
      <c r="T1401" s="4"/>
      <c r="U1401" s="4"/>
      <c r="V1401" s="4"/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  <c r="AG1401" s="4"/>
      <c r="AH1401" s="4"/>
      <c r="AI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</row>
    <row r="1402" spans="4:48" x14ac:dyDescent="0.3">
      <c r="D1402" s="5"/>
      <c r="E1402" s="5"/>
      <c r="F1402" s="20"/>
      <c r="G1402" s="20"/>
      <c r="H1402" s="5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4"/>
      <c r="T1402" s="4"/>
      <c r="U1402" s="4"/>
      <c r="V1402" s="4"/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  <c r="AG1402" s="4"/>
      <c r="AH1402" s="4"/>
      <c r="AI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</row>
    <row r="1403" spans="4:48" x14ac:dyDescent="0.3">
      <c r="D1403" s="5"/>
      <c r="E1403" s="5"/>
      <c r="F1403" s="20"/>
      <c r="G1403" s="20"/>
      <c r="H1403" s="5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4"/>
      <c r="T1403" s="4"/>
      <c r="U1403" s="4"/>
      <c r="V1403" s="4"/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  <c r="AG1403" s="4"/>
      <c r="AH1403" s="4"/>
      <c r="AI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</row>
    <row r="1404" spans="4:48" x14ac:dyDescent="0.3">
      <c r="D1404" s="5"/>
      <c r="E1404" s="5"/>
      <c r="F1404" s="20"/>
      <c r="G1404" s="20"/>
      <c r="H1404" s="5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4"/>
      <c r="T1404" s="4"/>
      <c r="U1404" s="4"/>
      <c r="V1404" s="4"/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  <c r="AG1404" s="4"/>
      <c r="AH1404" s="4"/>
      <c r="AI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</row>
    <row r="1405" spans="4:48" x14ac:dyDescent="0.3">
      <c r="D1405" s="5"/>
      <c r="E1405" s="5"/>
      <c r="F1405" s="20"/>
      <c r="G1405" s="20"/>
      <c r="H1405" s="5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4"/>
      <c r="T1405" s="4"/>
      <c r="U1405" s="4"/>
      <c r="V1405" s="4"/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  <c r="AG1405" s="4"/>
      <c r="AH1405" s="4"/>
      <c r="AI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</row>
    <row r="1406" spans="4:48" x14ac:dyDescent="0.3">
      <c r="D1406" s="5"/>
      <c r="E1406" s="5"/>
      <c r="F1406" s="20"/>
      <c r="G1406" s="20"/>
      <c r="H1406" s="5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4"/>
      <c r="T1406" s="4"/>
      <c r="U1406" s="4"/>
      <c r="V1406" s="4"/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  <c r="AG1406" s="4"/>
      <c r="AH1406" s="4"/>
      <c r="AI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</row>
    <row r="1407" spans="4:48" x14ac:dyDescent="0.3">
      <c r="D1407" s="5"/>
      <c r="E1407" s="5"/>
      <c r="F1407" s="20"/>
      <c r="G1407" s="20"/>
      <c r="H1407" s="5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4"/>
      <c r="T1407" s="4"/>
      <c r="U1407" s="4"/>
      <c r="V1407" s="4"/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  <c r="AG1407" s="4"/>
      <c r="AH1407" s="4"/>
      <c r="AI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</row>
    <row r="1408" spans="4:48" x14ac:dyDescent="0.3">
      <c r="D1408" s="5"/>
      <c r="E1408" s="5"/>
      <c r="F1408" s="20"/>
      <c r="G1408" s="20"/>
      <c r="H1408" s="5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4"/>
      <c r="T1408" s="4"/>
      <c r="U1408" s="4"/>
      <c r="V1408" s="4"/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  <c r="AG1408" s="4"/>
      <c r="AH1408" s="4"/>
      <c r="AI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</row>
    <row r="1409" spans="4:48" x14ac:dyDescent="0.3">
      <c r="D1409" s="5"/>
      <c r="E1409" s="5"/>
      <c r="F1409" s="20"/>
      <c r="G1409" s="20"/>
      <c r="H1409" s="5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4"/>
      <c r="T1409" s="4"/>
      <c r="U1409" s="4"/>
      <c r="V1409" s="4"/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  <c r="AG1409" s="4"/>
      <c r="AH1409" s="4"/>
      <c r="AI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</row>
    <row r="1410" spans="4:48" x14ac:dyDescent="0.3">
      <c r="D1410" s="5"/>
      <c r="E1410" s="5"/>
      <c r="F1410" s="20"/>
      <c r="G1410" s="20"/>
      <c r="H1410" s="5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4"/>
      <c r="T1410" s="4"/>
      <c r="U1410" s="4"/>
      <c r="V1410" s="4"/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  <c r="AG1410" s="4"/>
      <c r="AH1410" s="4"/>
      <c r="AI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</row>
    <row r="1411" spans="4:48" x14ac:dyDescent="0.3">
      <c r="D1411" s="5"/>
      <c r="E1411" s="5"/>
      <c r="F1411" s="20"/>
      <c r="G1411" s="20"/>
      <c r="H1411" s="5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4"/>
      <c r="T1411" s="4"/>
      <c r="U1411" s="4"/>
      <c r="V1411" s="4"/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  <c r="AG1411" s="4"/>
      <c r="AH1411" s="4"/>
      <c r="AI1411" s="4"/>
      <c r="AJ1411" s="4"/>
      <c r="AK1411" s="4"/>
      <c r="AL1411" s="4"/>
      <c r="AM1411" s="4"/>
      <c r="AN1411" s="4"/>
      <c r="AO1411" s="4"/>
      <c r="AP1411" s="4"/>
      <c r="AQ1411" s="4"/>
      <c r="AR1411" s="4"/>
      <c r="AS1411" s="4"/>
      <c r="AT1411" s="4"/>
      <c r="AU1411" s="4"/>
      <c r="AV1411" s="4"/>
    </row>
    <row r="1412" spans="4:48" x14ac:dyDescent="0.3">
      <c r="D1412" s="5"/>
      <c r="E1412" s="5"/>
      <c r="F1412" s="20"/>
      <c r="G1412" s="20"/>
      <c r="H1412" s="5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4"/>
      <c r="T1412" s="4"/>
      <c r="U1412" s="4"/>
      <c r="V1412" s="4"/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  <c r="AG1412" s="4"/>
      <c r="AH1412" s="4"/>
      <c r="AI1412" s="4"/>
      <c r="AJ1412" s="4"/>
      <c r="AK1412" s="4"/>
      <c r="AL1412" s="4"/>
      <c r="AM1412" s="4"/>
      <c r="AN1412" s="4"/>
      <c r="AO1412" s="4"/>
      <c r="AP1412" s="4"/>
      <c r="AQ1412" s="4"/>
      <c r="AR1412" s="4"/>
      <c r="AS1412" s="4"/>
      <c r="AT1412" s="4"/>
      <c r="AU1412" s="4"/>
      <c r="AV1412" s="4"/>
    </row>
    <row r="1413" spans="4:48" x14ac:dyDescent="0.3">
      <c r="D1413" s="5"/>
      <c r="E1413" s="5"/>
      <c r="F1413" s="20"/>
      <c r="G1413" s="20"/>
      <c r="H1413" s="5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4"/>
      <c r="T1413" s="4"/>
      <c r="U1413" s="4"/>
      <c r="V1413" s="4"/>
      <c r="W1413" s="4"/>
      <c r="X1413" s="4"/>
      <c r="Y1413" s="4"/>
      <c r="Z1413" s="4"/>
      <c r="AA1413" s="4"/>
      <c r="AB1413" s="4"/>
      <c r="AC1413" s="4"/>
      <c r="AD1413" s="4"/>
      <c r="AE1413" s="4"/>
      <c r="AF1413" s="4"/>
      <c r="AG1413" s="4"/>
      <c r="AH1413" s="4"/>
      <c r="AI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</row>
    <row r="1414" spans="4:48" x14ac:dyDescent="0.3">
      <c r="D1414" s="5"/>
      <c r="E1414" s="5"/>
      <c r="F1414" s="20"/>
      <c r="G1414" s="20"/>
      <c r="H1414" s="5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4"/>
      <c r="T1414" s="4"/>
      <c r="U1414" s="4"/>
      <c r="V1414" s="4"/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  <c r="AG1414" s="4"/>
      <c r="AH1414" s="4"/>
      <c r="AI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</row>
    <row r="1415" spans="4:48" x14ac:dyDescent="0.3">
      <c r="D1415" s="5"/>
      <c r="E1415" s="5"/>
      <c r="F1415" s="20"/>
      <c r="G1415" s="20"/>
      <c r="H1415" s="5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4"/>
      <c r="T1415" s="4"/>
      <c r="U1415" s="4"/>
      <c r="V1415" s="4"/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  <c r="AG1415" s="4"/>
      <c r="AH1415" s="4"/>
      <c r="AI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</row>
    <row r="1416" spans="4:48" x14ac:dyDescent="0.3">
      <c r="D1416" s="5"/>
      <c r="E1416" s="5"/>
      <c r="F1416" s="20"/>
      <c r="G1416" s="20"/>
      <c r="H1416" s="5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4"/>
      <c r="T1416" s="4"/>
      <c r="U1416" s="4"/>
      <c r="V1416" s="4"/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  <c r="AG1416" s="4"/>
      <c r="AH1416" s="4"/>
      <c r="AI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</row>
    <row r="1417" spans="4:48" x14ac:dyDescent="0.3">
      <c r="D1417" s="5"/>
      <c r="E1417" s="5"/>
      <c r="F1417" s="20"/>
      <c r="G1417" s="20"/>
      <c r="H1417" s="5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  <c r="AG1417" s="4"/>
      <c r="AH1417" s="4"/>
      <c r="AI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</row>
    <row r="1418" spans="4:48" x14ac:dyDescent="0.3">
      <c r="D1418" s="5"/>
      <c r="E1418" s="5"/>
      <c r="F1418" s="20"/>
      <c r="G1418" s="20"/>
      <c r="H1418" s="5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4"/>
      <c r="T1418" s="4"/>
      <c r="U1418" s="4"/>
      <c r="V1418" s="4"/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  <c r="AG1418" s="4"/>
      <c r="AH1418" s="4"/>
      <c r="AI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</row>
    <row r="1419" spans="4:48" x14ac:dyDescent="0.3">
      <c r="D1419" s="5"/>
      <c r="E1419" s="5"/>
      <c r="F1419" s="20"/>
      <c r="G1419" s="20"/>
      <c r="H1419" s="5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4"/>
      <c r="T1419" s="4"/>
      <c r="U1419" s="4"/>
      <c r="V1419" s="4"/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  <c r="AG1419" s="4"/>
      <c r="AH1419" s="4"/>
      <c r="AI1419" s="4"/>
      <c r="AJ1419" s="4"/>
      <c r="AK1419" s="4"/>
      <c r="AL1419" s="4"/>
      <c r="AM1419" s="4"/>
      <c r="AN1419" s="4"/>
      <c r="AO1419" s="4"/>
      <c r="AP1419" s="4"/>
      <c r="AQ1419" s="4"/>
      <c r="AR1419" s="4"/>
      <c r="AS1419" s="4"/>
      <c r="AT1419" s="4"/>
      <c r="AU1419" s="4"/>
      <c r="AV1419" s="4"/>
    </row>
    <row r="1420" spans="4:48" x14ac:dyDescent="0.3">
      <c r="D1420" s="5"/>
      <c r="E1420" s="5"/>
      <c r="F1420" s="20"/>
      <c r="G1420" s="20"/>
      <c r="H1420" s="5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4"/>
      <c r="T1420" s="4"/>
      <c r="U1420" s="4"/>
      <c r="V1420" s="4"/>
      <c r="W1420" s="4"/>
      <c r="X1420" s="4"/>
      <c r="Y1420" s="4"/>
      <c r="Z1420" s="4"/>
      <c r="AA1420" s="4"/>
      <c r="AB1420" s="4"/>
      <c r="AC1420" s="4"/>
      <c r="AD1420" s="4"/>
      <c r="AE1420" s="4"/>
      <c r="AF1420" s="4"/>
      <c r="AG1420" s="4"/>
      <c r="AH1420" s="4"/>
      <c r="AI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</row>
    <row r="1421" spans="4:48" x14ac:dyDescent="0.3">
      <c r="D1421" s="5"/>
      <c r="E1421" s="5"/>
      <c r="F1421" s="20"/>
      <c r="G1421" s="20"/>
      <c r="H1421" s="5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4"/>
      <c r="T1421" s="4"/>
      <c r="U1421" s="4"/>
      <c r="V1421" s="4"/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  <c r="AG1421" s="4"/>
      <c r="AH1421" s="4"/>
      <c r="AI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</row>
    <row r="1422" spans="4:48" x14ac:dyDescent="0.3">
      <c r="D1422" s="5"/>
      <c r="E1422" s="5"/>
      <c r="F1422" s="20"/>
      <c r="G1422" s="20"/>
      <c r="H1422" s="5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4"/>
      <c r="T1422" s="4"/>
      <c r="U1422" s="4"/>
      <c r="V1422" s="4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  <c r="AG1422" s="4"/>
      <c r="AH1422" s="4"/>
      <c r="AI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</row>
    <row r="1423" spans="4:48" x14ac:dyDescent="0.3">
      <c r="D1423" s="5"/>
      <c r="E1423" s="5"/>
      <c r="F1423" s="20"/>
      <c r="G1423" s="20"/>
      <c r="H1423" s="5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4"/>
      <c r="T1423" s="4"/>
      <c r="U1423" s="4"/>
      <c r="V1423" s="4"/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  <c r="AG1423" s="4"/>
      <c r="AH1423" s="4"/>
      <c r="AI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</row>
    <row r="1424" spans="4:48" x14ac:dyDescent="0.3">
      <c r="D1424" s="5"/>
      <c r="E1424" s="5"/>
      <c r="F1424" s="20"/>
      <c r="G1424" s="20"/>
      <c r="H1424" s="5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4"/>
      <c r="T1424" s="4"/>
      <c r="U1424" s="4"/>
      <c r="V1424" s="4"/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  <c r="AG1424" s="4"/>
      <c r="AH1424" s="4"/>
      <c r="AI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</row>
    <row r="1425" spans="4:48" x14ac:dyDescent="0.3">
      <c r="D1425" s="5"/>
      <c r="E1425" s="5"/>
      <c r="F1425" s="20"/>
      <c r="G1425" s="20"/>
      <c r="H1425" s="5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4"/>
      <c r="T1425" s="4"/>
      <c r="U1425" s="4"/>
      <c r="V1425" s="4"/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  <c r="AG1425" s="4"/>
      <c r="AH1425" s="4"/>
      <c r="AI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</row>
    <row r="1426" spans="4:48" x14ac:dyDescent="0.3">
      <c r="D1426" s="5"/>
      <c r="E1426" s="5"/>
      <c r="F1426" s="20"/>
      <c r="G1426" s="20"/>
      <c r="H1426" s="5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4"/>
      <c r="T1426" s="4"/>
      <c r="U1426" s="4"/>
      <c r="V1426" s="4"/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  <c r="AG1426" s="4"/>
      <c r="AH1426" s="4"/>
      <c r="AI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</row>
    <row r="1427" spans="4:48" x14ac:dyDescent="0.3">
      <c r="D1427" s="5"/>
      <c r="E1427" s="5"/>
      <c r="F1427" s="20"/>
      <c r="G1427" s="20"/>
      <c r="H1427" s="5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4"/>
      <c r="T1427" s="4"/>
      <c r="U1427" s="4"/>
      <c r="V1427" s="4"/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  <c r="AG1427" s="4"/>
      <c r="AH1427" s="4"/>
      <c r="AI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</row>
    <row r="1428" spans="4:48" x14ac:dyDescent="0.3">
      <c r="D1428" s="5"/>
      <c r="E1428" s="5"/>
      <c r="F1428" s="20"/>
      <c r="G1428" s="20"/>
      <c r="H1428" s="5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4"/>
      <c r="T1428" s="4"/>
      <c r="U1428" s="4"/>
      <c r="V1428" s="4"/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  <c r="AG1428" s="4"/>
      <c r="AH1428" s="4"/>
      <c r="AI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</row>
    <row r="1429" spans="4:48" x14ac:dyDescent="0.3">
      <c r="D1429" s="5"/>
      <c r="E1429" s="5"/>
      <c r="F1429" s="20"/>
      <c r="G1429" s="20"/>
      <c r="H1429" s="5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4"/>
      <c r="T1429" s="4"/>
      <c r="U1429" s="4"/>
      <c r="V1429" s="4"/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  <c r="AG1429" s="4"/>
      <c r="AH1429" s="4"/>
      <c r="AI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</row>
    <row r="1430" spans="4:48" x14ac:dyDescent="0.3">
      <c r="D1430" s="5"/>
      <c r="E1430" s="5"/>
      <c r="F1430" s="20"/>
      <c r="G1430" s="20"/>
      <c r="H1430" s="5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4"/>
      <c r="T1430" s="4"/>
      <c r="U1430" s="4"/>
      <c r="V1430" s="4"/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  <c r="AG1430" s="4"/>
      <c r="AH1430" s="4"/>
      <c r="AI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</row>
    <row r="1431" spans="4:48" x14ac:dyDescent="0.3">
      <c r="D1431" s="5"/>
      <c r="E1431" s="5"/>
      <c r="F1431" s="20"/>
      <c r="G1431" s="20"/>
      <c r="H1431" s="5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4"/>
      <c r="T1431" s="4"/>
      <c r="U1431" s="4"/>
      <c r="V1431" s="4"/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  <c r="AG1431" s="4"/>
      <c r="AH1431" s="4"/>
      <c r="AI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</row>
    <row r="1432" spans="4:48" x14ac:dyDescent="0.3">
      <c r="D1432" s="5"/>
      <c r="E1432" s="5"/>
      <c r="F1432" s="20"/>
      <c r="G1432" s="20"/>
      <c r="H1432" s="5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4"/>
      <c r="T1432" s="4"/>
      <c r="U1432" s="4"/>
      <c r="V1432" s="4"/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  <c r="AG1432" s="4"/>
      <c r="AH1432" s="4"/>
      <c r="AI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</row>
    <row r="1433" spans="4:48" x14ac:dyDescent="0.3">
      <c r="D1433" s="5"/>
      <c r="E1433" s="5"/>
      <c r="F1433" s="20"/>
      <c r="G1433" s="20"/>
      <c r="H1433" s="5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4"/>
      <c r="T1433" s="4"/>
      <c r="U1433" s="4"/>
      <c r="V1433" s="4"/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  <c r="AG1433" s="4"/>
      <c r="AH1433" s="4"/>
      <c r="AI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</row>
    <row r="1434" spans="4:48" x14ac:dyDescent="0.3">
      <c r="D1434" s="5"/>
      <c r="E1434" s="5"/>
      <c r="F1434" s="20"/>
      <c r="G1434" s="20"/>
      <c r="H1434" s="5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4"/>
      <c r="T1434" s="4"/>
      <c r="U1434" s="4"/>
      <c r="V1434" s="4"/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  <c r="AG1434" s="4"/>
      <c r="AH1434" s="4"/>
      <c r="AI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</row>
    <row r="1435" spans="4:48" x14ac:dyDescent="0.3">
      <c r="D1435" s="5"/>
      <c r="E1435" s="5"/>
      <c r="F1435" s="20"/>
      <c r="G1435" s="20"/>
      <c r="H1435" s="5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4"/>
      <c r="T1435" s="4"/>
      <c r="U1435" s="4"/>
      <c r="V1435" s="4"/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  <c r="AG1435" s="4"/>
      <c r="AH1435" s="4"/>
      <c r="AI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</row>
    <row r="1436" spans="4:48" x14ac:dyDescent="0.3">
      <c r="D1436" s="5"/>
      <c r="E1436" s="5"/>
      <c r="F1436" s="20"/>
      <c r="G1436" s="20"/>
      <c r="H1436" s="5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4"/>
      <c r="T1436" s="4"/>
      <c r="U1436" s="4"/>
      <c r="V1436" s="4"/>
      <c r="W1436" s="4"/>
      <c r="X1436" s="4"/>
      <c r="Y1436" s="4"/>
      <c r="Z1436" s="4"/>
      <c r="AA1436" s="4"/>
      <c r="AB1436" s="4"/>
      <c r="AC1436" s="4"/>
      <c r="AD1436" s="4"/>
      <c r="AE1436" s="4"/>
      <c r="AF1436" s="4"/>
      <c r="AG1436" s="4"/>
      <c r="AH1436" s="4"/>
      <c r="AI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</row>
    <row r="1437" spans="4:48" x14ac:dyDescent="0.3">
      <c r="D1437" s="5"/>
      <c r="E1437" s="5"/>
      <c r="F1437" s="20"/>
      <c r="G1437" s="20"/>
      <c r="H1437" s="5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4"/>
      <c r="T1437" s="4"/>
      <c r="U1437" s="4"/>
      <c r="V1437" s="4"/>
      <c r="W1437" s="4"/>
      <c r="X1437" s="4"/>
      <c r="Y1437" s="4"/>
      <c r="Z1437" s="4"/>
      <c r="AA1437" s="4"/>
      <c r="AB1437" s="4"/>
      <c r="AC1437" s="4"/>
      <c r="AD1437" s="4"/>
      <c r="AE1437" s="4"/>
      <c r="AF1437" s="4"/>
      <c r="AG1437" s="4"/>
      <c r="AH1437" s="4"/>
      <c r="AI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</row>
    <row r="1438" spans="4:48" x14ac:dyDescent="0.3">
      <c r="D1438" s="5"/>
      <c r="E1438" s="5"/>
      <c r="F1438" s="20"/>
      <c r="G1438" s="20"/>
      <c r="H1438" s="5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4"/>
      <c r="T1438" s="4"/>
      <c r="U1438" s="4"/>
      <c r="V1438" s="4"/>
      <c r="W1438" s="4"/>
      <c r="X1438" s="4"/>
      <c r="Y1438" s="4"/>
      <c r="Z1438" s="4"/>
      <c r="AA1438" s="4"/>
      <c r="AB1438" s="4"/>
      <c r="AC1438" s="4"/>
      <c r="AD1438" s="4"/>
      <c r="AE1438" s="4"/>
      <c r="AF1438" s="4"/>
      <c r="AG1438" s="4"/>
      <c r="AH1438" s="4"/>
      <c r="AI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</row>
    <row r="1439" spans="4:48" x14ac:dyDescent="0.3">
      <c r="D1439" s="5"/>
      <c r="E1439" s="5"/>
      <c r="F1439" s="20"/>
      <c r="G1439" s="20"/>
      <c r="H1439" s="5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4"/>
      <c r="T1439" s="4"/>
      <c r="U1439" s="4"/>
      <c r="V1439" s="4"/>
      <c r="W1439" s="4"/>
      <c r="X1439" s="4"/>
      <c r="Y1439" s="4"/>
      <c r="Z1439" s="4"/>
      <c r="AA1439" s="4"/>
      <c r="AB1439" s="4"/>
      <c r="AC1439" s="4"/>
      <c r="AD1439" s="4"/>
      <c r="AE1439" s="4"/>
      <c r="AF1439" s="4"/>
      <c r="AG1439" s="4"/>
      <c r="AH1439" s="4"/>
      <c r="AI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</row>
    <row r="1440" spans="4:48" x14ac:dyDescent="0.3">
      <c r="D1440" s="5"/>
      <c r="E1440" s="5"/>
      <c r="F1440" s="20"/>
      <c r="G1440" s="20"/>
      <c r="H1440" s="5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4"/>
      <c r="T1440" s="4"/>
      <c r="U1440" s="4"/>
      <c r="V1440" s="4"/>
      <c r="W1440" s="4"/>
      <c r="X1440" s="4"/>
      <c r="Y1440" s="4"/>
      <c r="Z1440" s="4"/>
      <c r="AA1440" s="4"/>
      <c r="AB1440" s="4"/>
      <c r="AC1440" s="4"/>
      <c r="AD1440" s="4"/>
      <c r="AE1440" s="4"/>
      <c r="AF1440" s="4"/>
      <c r="AG1440" s="4"/>
      <c r="AH1440" s="4"/>
      <c r="AI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</row>
    <row r="1441" spans="4:48" x14ac:dyDescent="0.3">
      <c r="D1441" s="5"/>
      <c r="E1441" s="5"/>
      <c r="F1441" s="20"/>
      <c r="G1441" s="20"/>
      <c r="H1441" s="5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4"/>
      <c r="T1441" s="4"/>
      <c r="U1441" s="4"/>
      <c r="V1441" s="4"/>
      <c r="W1441" s="4"/>
      <c r="X1441" s="4"/>
      <c r="Y1441" s="4"/>
      <c r="Z1441" s="4"/>
      <c r="AA1441" s="4"/>
      <c r="AB1441" s="4"/>
      <c r="AC1441" s="4"/>
      <c r="AD1441" s="4"/>
      <c r="AE1441" s="4"/>
      <c r="AF1441" s="4"/>
      <c r="AG1441" s="4"/>
      <c r="AH1441" s="4"/>
      <c r="AI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</row>
    <row r="1442" spans="4:48" x14ac:dyDescent="0.3">
      <c r="D1442" s="5"/>
      <c r="E1442" s="5"/>
      <c r="F1442" s="20"/>
      <c r="G1442" s="20"/>
      <c r="H1442" s="5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4"/>
      <c r="T1442" s="4"/>
      <c r="U1442" s="4"/>
      <c r="V1442" s="4"/>
      <c r="W1442" s="4"/>
      <c r="X1442" s="4"/>
      <c r="Y1442" s="4"/>
      <c r="Z1442" s="4"/>
      <c r="AA1442" s="4"/>
      <c r="AB1442" s="4"/>
      <c r="AC1442" s="4"/>
      <c r="AD1442" s="4"/>
      <c r="AE1442" s="4"/>
      <c r="AF1442" s="4"/>
      <c r="AG1442" s="4"/>
      <c r="AH1442" s="4"/>
      <c r="AI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</row>
    <row r="1443" spans="4:48" x14ac:dyDescent="0.3">
      <c r="D1443" s="5"/>
      <c r="E1443" s="5"/>
      <c r="F1443" s="20"/>
      <c r="G1443" s="20"/>
      <c r="H1443" s="5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4"/>
      <c r="T1443" s="4"/>
      <c r="U1443" s="4"/>
      <c r="V1443" s="4"/>
      <c r="W1443" s="4"/>
      <c r="X1443" s="4"/>
      <c r="Y1443" s="4"/>
      <c r="Z1443" s="4"/>
      <c r="AA1443" s="4"/>
      <c r="AB1443" s="4"/>
      <c r="AC1443" s="4"/>
      <c r="AD1443" s="4"/>
      <c r="AE1443" s="4"/>
      <c r="AF1443" s="4"/>
      <c r="AG1443" s="4"/>
      <c r="AH1443" s="4"/>
      <c r="AI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</row>
    <row r="1444" spans="4:48" x14ac:dyDescent="0.3">
      <c r="D1444" s="5"/>
      <c r="E1444" s="5"/>
      <c r="F1444" s="20"/>
      <c r="G1444" s="20"/>
      <c r="H1444" s="5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4"/>
      <c r="T1444" s="4"/>
      <c r="U1444" s="4"/>
      <c r="V1444" s="4"/>
      <c r="W1444" s="4"/>
      <c r="X1444" s="4"/>
      <c r="Y1444" s="4"/>
      <c r="Z1444" s="4"/>
      <c r="AA1444" s="4"/>
      <c r="AB1444" s="4"/>
      <c r="AC1444" s="4"/>
      <c r="AD1444" s="4"/>
      <c r="AE1444" s="4"/>
      <c r="AF1444" s="4"/>
      <c r="AG1444" s="4"/>
      <c r="AH1444" s="4"/>
      <c r="AI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</row>
    <row r="1445" spans="4:48" x14ac:dyDescent="0.3">
      <c r="D1445" s="5"/>
      <c r="E1445" s="5"/>
      <c r="F1445" s="20"/>
      <c r="G1445" s="20"/>
      <c r="H1445" s="5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4"/>
      <c r="T1445" s="4"/>
      <c r="U1445" s="4"/>
      <c r="V1445" s="4"/>
      <c r="W1445" s="4"/>
      <c r="X1445" s="4"/>
      <c r="Y1445" s="4"/>
      <c r="Z1445" s="4"/>
      <c r="AA1445" s="4"/>
      <c r="AB1445" s="4"/>
      <c r="AC1445" s="4"/>
      <c r="AD1445" s="4"/>
      <c r="AE1445" s="4"/>
      <c r="AF1445" s="4"/>
      <c r="AG1445" s="4"/>
      <c r="AH1445" s="4"/>
      <c r="AI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</row>
    <row r="1446" spans="4:48" x14ac:dyDescent="0.3">
      <c r="D1446" s="5"/>
      <c r="E1446" s="5"/>
      <c r="F1446" s="20"/>
      <c r="G1446" s="20"/>
      <c r="H1446" s="5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4"/>
      <c r="T1446" s="4"/>
      <c r="U1446" s="4"/>
      <c r="V1446" s="4"/>
      <c r="W1446" s="4"/>
      <c r="X1446" s="4"/>
      <c r="Y1446" s="4"/>
      <c r="Z1446" s="4"/>
      <c r="AA1446" s="4"/>
      <c r="AB1446" s="4"/>
      <c r="AC1446" s="4"/>
      <c r="AD1446" s="4"/>
      <c r="AE1446" s="4"/>
      <c r="AF1446" s="4"/>
      <c r="AG1446" s="4"/>
      <c r="AH1446" s="4"/>
      <c r="AI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</row>
    <row r="1447" spans="4:48" x14ac:dyDescent="0.3">
      <c r="D1447" s="5"/>
      <c r="E1447" s="5"/>
      <c r="F1447" s="20"/>
      <c r="G1447" s="20"/>
      <c r="H1447" s="5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4"/>
      <c r="T1447" s="4"/>
      <c r="U1447" s="4"/>
      <c r="V1447" s="4"/>
      <c r="W1447" s="4"/>
      <c r="X1447" s="4"/>
      <c r="Y1447" s="4"/>
      <c r="Z1447" s="4"/>
      <c r="AA1447" s="4"/>
      <c r="AB1447" s="4"/>
      <c r="AC1447" s="4"/>
      <c r="AD1447" s="4"/>
      <c r="AE1447" s="4"/>
      <c r="AF1447" s="4"/>
      <c r="AG1447" s="4"/>
      <c r="AH1447" s="4"/>
      <c r="AI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</row>
    <row r="1448" spans="4:48" x14ac:dyDescent="0.3">
      <c r="D1448" s="5"/>
      <c r="E1448" s="5"/>
      <c r="F1448" s="20"/>
      <c r="G1448" s="20"/>
      <c r="H1448" s="5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4"/>
      <c r="T1448" s="4"/>
      <c r="U1448" s="4"/>
      <c r="V1448" s="4"/>
      <c r="W1448" s="4"/>
      <c r="X1448" s="4"/>
      <c r="Y1448" s="4"/>
      <c r="Z1448" s="4"/>
      <c r="AA1448" s="4"/>
      <c r="AB1448" s="4"/>
      <c r="AC1448" s="4"/>
      <c r="AD1448" s="4"/>
      <c r="AE1448" s="4"/>
      <c r="AF1448" s="4"/>
      <c r="AG1448" s="4"/>
      <c r="AH1448" s="4"/>
      <c r="AI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</row>
    <row r="1449" spans="4:48" x14ac:dyDescent="0.3">
      <c r="D1449" s="5"/>
      <c r="E1449" s="5"/>
      <c r="F1449" s="20"/>
      <c r="G1449" s="20"/>
      <c r="H1449" s="5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4"/>
      <c r="T1449" s="4"/>
      <c r="U1449" s="4"/>
      <c r="V1449" s="4"/>
      <c r="W1449" s="4"/>
      <c r="X1449" s="4"/>
      <c r="Y1449" s="4"/>
      <c r="Z1449" s="4"/>
      <c r="AA1449" s="4"/>
      <c r="AB1449" s="4"/>
      <c r="AC1449" s="4"/>
      <c r="AD1449" s="4"/>
      <c r="AE1449" s="4"/>
      <c r="AF1449" s="4"/>
      <c r="AG1449" s="4"/>
      <c r="AH1449" s="4"/>
      <c r="AI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</row>
    <row r="1450" spans="4:48" x14ac:dyDescent="0.3">
      <c r="D1450" s="5"/>
      <c r="E1450" s="5"/>
      <c r="F1450" s="20"/>
      <c r="G1450" s="20"/>
      <c r="H1450" s="5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4"/>
      <c r="T1450" s="4"/>
      <c r="U1450" s="4"/>
      <c r="V1450" s="4"/>
      <c r="W1450" s="4"/>
      <c r="X1450" s="4"/>
      <c r="Y1450" s="4"/>
      <c r="Z1450" s="4"/>
      <c r="AA1450" s="4"/>
      <c r="AB1450" s="4"/>
      <c r="AC1450" s="4"/>
      <c r="AD1450" s="4"/>
      <c r="AE1450" s="4"/>
      <c r="AF1450" s="4"/>
      <c r="AG1450" s="4"/>
      <c r="AH1450" s="4"/>
      <c r="AI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</row>
    <row r="1451" spans="4:48" x14ac:dyDescent="0.3">
      <c r="D1451" s="5"/>
      <c r="E1451" s="5"/>
      <c r="F1451" s="20"/>
      <c r="G1451" s="20"/>
      <c r="H1451" s="5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4"/>
      <c r="T1451" s="4"/>
      <c r="U1451" s="4"/>
      <c r="V1451" s="4"/>
      <c r="W1451" s="4"/>
      <c r="X1451" s="4"/>
      <c r="Y1451" s="4"/>
      <c r="Z1451" s="4"/>
      <c r="AA1451" s="4"/>
      <c r="AB1451" s="4"/>
      <c r="AC1451" s="4"/>
      <c r="AD1451" s="4"/>
      <c r="AE1451" s="4"/>
      <c r="AF1451" s="4"/>
      <c r="AG1451" s="4"/>
      <c r="AH1451" s="4"/>
      <c r="AI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</row>
    <row r="1452" spans="4:48" x14ac:dyDescent="0.3">
      <c r="D1452" s="5"/>
      <c r="E1452" s="5"/>
      <c r="F1452" s="20"/>
      <c r="G1452" s="20"/>
      <c r="H1452" s="5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4"/>
      <c r="T1452" s="4"/>
      <c r="U1452" s="4"/>
      <c r="V1452" s="4"/>
      <c r="W1452" s="4"/>
      <c r="X1452" s="4"/>
      <c r="Y1452" s="4"/>
      <c r="Z1452" s="4"/>
      <c r="AA1452" s="4"/>
      <c r="AB1452" s="4"/>
      <c r="AC1452" s="4"/>
      <c r="AD1452" s="4"/>
      <c r="AE1452" s="4"/>
      <c r="AF1452" s="4"/>
      <c r="AG1452" s="4"/>
      <c r="AH1452" s="4"/>
      <c r="AI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</row>
    <row r="1453" spans="4:48" x14ac:dyDescent="0.3">
      <c r="D1453" s="5"/>
      <c r="E1453" s="5"/>
      <c r="F1453" s="20"/>
      <c r="G1453" s="20"/>
      <c r="H1453" s="5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4"/>
      <c r="T1453" s="4"/>
      <c r="U1453" s="4"/>
      <c r="V1453" s="4"/>
      <c r="W1453" s="4"/>
      <c r="X1453" s="4"/>
      <c r="Y1453" s="4"/>
      <c r="Z1453" s="4"/>
      <c r="AA1453" s="4"/>
      <c r="AB1453" s="4"/>
      <c r="AC1453" s="4"/>
      <c r="AD1453" s="4"/>
      <c r="AE1453" s="4"/>
      <c r="AF1453" s="4"/>
      <c r="AG1453" s="4"/>
      <c r="AH1453" s="4"/>
      <c r="AI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</row>
    <row r="1454" spans="4:48" x14ac:dyDescent="0.3">
      <c r="D1454" s="5"/>
      <c r="E1454" s="5"/>
      <c r="F1454" s="20"/>
      <c r="G1454" s="20"/>
      <c r="H1454" s="5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4"/>
      <c r="T1454" s="4"/>
      <c r="U1454" s="4"/>
      <c r="V1454" s="4"/>
      <c r="W1454" s="4"/>
      <c r="X1454" s="4"/>
      <c r="Y1454" s="4"/>
      <c r="Z1454" s="4"/>
      <c r="AA1454" s="4"/>
      <c r="AB1454" s="4"/>
      <c r="AC1454" s="4"/>
      <c r="AD1454" s="4"/>
      <c r="AE1454" s="4"/>
      <c r="AF1454" s="4"/>
      <c r="AG1454" s="4"/>
      <c r="AH1454" s="4"/>
      <c r="AI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</row>
    <row r="1455" spans="4:48" x14ac:dyDescent="0.3">
      <c r="D1455" s="5"/>
      <c r="E1455" s="5"/>
      <c r="F1455" s="20"/>
      <c r="G1455" s="20"/>
      <c r="H1455" s="5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4"/>
      <c r="T1455" s="4"/>
      <c r="U1455" s="4"/>
      <c r="V1455" s="4"/>
      <c r="W1455" s="4"/>
      <c r="X1455" s="4"/>
      <c r="Y1455" s="4"/>
      <c r="Z1455" s="4"/>
      <c r="AA1455" s="4"/>
      <c r="AB1455" s="4"/>
      <c r="AC1455" s="4"/>
      <c r="AD1455" s="4"/>
      <c r="AE1455" s="4"/>
      <c r="AF1455" s="4"/>
      <c r="AG1455" s="4"/>
      <c r="AH1455" s="4"/>
      <c r="AI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</row>
    <row r="1456" spans="4:48" x14ac:dyDescent="0.3">
      <c r="D1456" s="5"/>
      <c r="E1456" s="5"/>
      <c r="F1456" s="20"/>
      <c r="G1456" s="20"/>
      <c r="H1456" s="5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4"/>
      <c r="T1456" s="4"/>
      <c r="U1456" s="4"/>
      <c r="V1456" s="4"/>
      <c r="W1456" s="4"/>
      <c r="X1456" s="4"/>
      <c r="Y1456" s="4"/>
      <c r="Z1456" s="4"/>
      <c r="AA1456" s="4"/>
      <c r="AB1456" s="4"/>
      <c r="AC1456" s="4"/>
      <c r="AD1456" s="4"/>
      <c r="AE1456" s="4"/>
      <c r="AF1456" s="4"/>
      <c r="AG1456" s="4"/>
      <c r="AH1456" s="4"/>
      <c r="AI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</row>
    <row r="1457" spans="4:48" x14ac:dyDescent="0.3">
      <c r="D1457" s="5"/>
      <c r="E1457" s="5"/>
      <c r="F1457" s="20"/>
      <c r="G1457" s="20"/>
      <c r="H1457" s="5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4"/>
      <c r="T1457" s="4"/>
      <c r="U1457" s="4"/>
      <c r="V1457" s="4"/>
      <c r="W1457" s="4"/>
      <c r="X1457" s="4"/>
      <c r="Y1457" s="4"/>
      <c r="Z1457" s="4"/>
      <c r="AA1457" s="4"/>
      <c r="AB1457" s="4"/>
      <c r="AC1457" s="4"/>
      <c r="AD1457" s="4"/>
      <c r="AE1457" s="4"/>
      <c r="AF1457" s="4"/>
      <c r="AG1457" s="4"/>
      <c r="AH1457" s="4"/>
      <c r="AI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</row>
    <row r="1458" spans="4:48" x14ac:dyDescent="0.3">
      <c r="D1458" s="5"/>
      <c r="E1458" s="5"/>
      <c r="F1458" s="20"/>
      <c r="G1458" s="20"/>
      <c r="H1458" s="5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4"/>
      <c r="T1458" s="4"/>
      <c r="U1458" s="4"/>
      <c r="V1458" s="4"/>
      <c r="W1458" s="4"/>
      <c r="X1458" s="4"/>
      <c r="Y1458" s="4"/>
      <c r="Z1458" s="4"/>
      <c r="AA1458" s="4"/>
      <c r="AB1458" s="4"/>
      <c r="AC1458" s="4"/>
      <c r="AD1458" s="4"/>
      <c r="AE1458" s="4"/>
      <c r="AF1458" s="4"/>
      <c r="AG1458" s="4"/>
      <c r="AH1458" s="4"/>
      <c r="AI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</row>
    <row r="1459" spans="4:48" x14ac:dyDescent="0.3">
      <c r="D1459" s="5"/>
      <c r="E1459" s="5"/>
      <c r="F1459" s="20"/>
      <c r="G1459" s="20"/>
      <c r="H1459" s="5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4"/>
      <c r="T1459" s="4"/>
      <c r="U1459" s="4"/>
      <c r="V1459" s="4"/>
      <c r="W1459" s="4"/>
      <c r="X1459" s="4"/>
      <c r="Y1459" s="4"/>
      <c r="Z1459" s="4"/>
      <c r="AA1459" s="4"/>
      <c r="AB1459" s="4"/>
      <c r="AC1459" s="4"/>
      <c r="AD1459" s="4"/>
      <c r="AE1459" s="4"/>
      <c r="AF1459" s="4"/>
      <c r="AG1459" s="4"/>
      <c r="AH1459" s="4"/>
      <c r="AI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</row>
    <row r="1460" spans="4:48" x14ac:dyDescent="0.3">
      <c r="D1460" s="5"/>
      <c r="E1460" s="5"/>
      <c r="F1460" s="20"/>
      <c r="G1460" s="20"/>
      <c r="H1460" s="5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4"/>
      <c r="T1460" s="4"/>
      <c r="U1460" s="4"/>
      <c r="V1460" s="4"/>
      <c r="W1460" s="4"/>
      <c r="X1460" s="4"/>
      <c r="Y1460" s="4"/>
      <c r="Z1460" s="4"/>
      <c r="AA1460" s="4"/>
      <c r="AB1460" s="4"/>
      <c r="AC1460" s="4"/>
      <c r="AD1460" s="4"/>
      <c r="AE1460" s="4"/>
      <c r="AF1460" s="4"/>
      <c r="AG1460" s="4"/>
      <c r="AH1460" s="4"/>
      <c r="AI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</row>
    <row r="1461" spans="4:48" x14ac:dyDescent="0.3">
      <c r="D1461" s="5"/>
      <c r="E1461" s="5"/>
      <c r="F1461" s="20"/>
      <c r="G1461" s="20"/>
      <c r="H1461" s="5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4"/>
      <c r="T1461" s="4"/>
      <c r="U1461" s="4"/>
      <c r="V1461" s="4"/>
      <c r="W1461" s="4"/>
      <c r="X1461" s="4"/>
      <c r="Y1461" s="4"/>
      <c r="Z1461" s="4"/>
      <c r="AA1461" s="4"/>
      <c r="AB1461" s="4"/>
      <c r="AC1461" s="4"/>
      <c r="AD1461" s="4"/>
      <c r="AE1461" s="4"/>
      <c r="AF1461" s="4"/>
      <c r="AG1461" s="4"/>
      <c r="AH1461" s="4"/>
      <c r="AI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</row>
    <row r="1462" spans="4:48" x14ac:dyDescent="0.3">
      <c r="D1462" s="5"/>
      <c r="E1462" s="5"/>
      <c r="F1462" s="20"/>
      <c r="G1462" s="20"/>
      <c r="H1462" s="5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4"/>
      <c r="T1462" s="4"/>
      <c r="U1462" s="4"/>
      <c r="V1462" s="4"/>
      <c r="W1462" s="4"/>
      <c r="X1462" s="4"/>
      <c r="Y1462" s="4"/>
      <c r="Z1462" s="4"/>
      <c r="AA1462" s="4"/>
      <c r="AB1462" s="4"/>
      <c r="AC1462" s="4"/>
      <c r="AD1462" s="4"/>
      <c r="AE1462" s="4"/>
      <c r="AF1462" s="4"/>
      <c r="AG1462" s="4"/>
      <c r="AH1462" s="4"/>
      <c r="AI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</row>
    <row r="1463" spans="4:48" x14ac:dyDescent="0.3">
      <c r="D1463" s="5"/>
      <c r="E1463" s="5"/>
      <c r="F1463" s="20"/>
      <c r="G1463" s="20"/>
      <c r="H1463" s="5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4"/>
      <c r="T1463" s="4"/>
      <c r="U1463" s="4"/>
      <c r="V1463" s="4"/>
      <c r="W1463" s="4"/>
      <c r="X1463" s="4"/>
      <c r="Y1463" s="4"/>
      <c r="Z1463" s="4"/>
      <c r="AA1463" s="4"/>
      <c r="AB1463" s="4"/>
      <c r="AC1463" s="4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</row>
    <row r="1464" spans="4:48" x14ac:dyDescent="0.3">
      <c r="D1464" s="5"/>
      <c r="E1464" s="5"/>
      <c r="F1464" s="20"/>
      <c r="G1464" s="20"/>
      <c r="H1464" s="5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4"/>
      <c r="T1464" s="4"/>
      <c r="U1464" s="4"/>
      <c r="V1464" s="4"/>
      <c r="W1464" s="4"/>
      <c r="X1464" s="4"/>
      <c r="Y1464" s="4"/>
      <c r="Z1464" s="4"/>
      <c r="AA1464" s="4"/>
      <c r="AB1464" s="4"/>
      <c r="AC1464" s="4"/>
      <c r="AD1464" s="4"/>
      <c r="AE1464" s="4"/>
      <c r="AF1464" s="4"/>
      <c r="AG1464" s="4"/>
      <c r="AH1464" s="4"/>
      <c r="AI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</row>
    <row r="1465" spans="4:48" x14ac:dyDescent="0.3">
      <c r="D1465" s="5"/>
      <c r="E1465" s="5"/>
      <c r="F1465" s="20"/>
      <c r="G1465" s="20"/>
      <c r="H1465" s="5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4"/>
      <c r="T1465" s="4"/>
      <c r="U1465" s="4"/>
      <c r="V1465" s="4"/>
      <c r="W1465" s="4"/>
      <c r="X1465" s="4"/>
      <c r="Y1465" s="4"/>
      <c r="Z1465" s="4"/>
      <c r="AA1465" s="4"/>
      <c r="AB1465" s="4"/>
      <c r="AC1465" s="4"/>
      <c r="AD1465" s="4"/>
      <c r="AE1465" s="4"/>
      <c r="AF1465" s="4"/>
      <c r="AG1465" s="4"/>
      <c r="AH1465" s="4"/>
      <c r="AI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</row>
    <row r="1466" spans="4:48" x14ac:dyDescent="0.3">
      <c r="D1466" s="5"/>
      <c r="E1466" s="5"/>
      <c r="F1466" s="20"/>
      <c r="G1466" s="20"/>
      <c r="H1466" s="5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4"/>
      <c r="T1466" s="4"/>
      <c r="U1466" s="4"/>
      <c r="V1466" s="4"/>
      <c r="W1466" s="4"/>
      <c r="X1466" s="4"/>
      <c r="Y1466" s="4"/>
      <c r="Z1466" s="4"/>
      <c r="AA1466" s="4"/>
      <c r="AB1466" s="4"/>
      <c r="AC1466" s="4"/>
      <c r="AD1466" s="4"/>
      <c r="AE1466" s="4"/>
      <c r="AF1466" s="4"/>
      <c r="AG1466" s="4"/>
      <c r="AH1466" s="4"/>
      <c r="AI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</row>
    <row r="1467" spans="4:48" x14ac:dyDescent="0.3">
      <c r="D1467" s="5"/>
      <c r="E1467" s="5"/>
      <c r="F1467" s="20"/>
      <c r="G1467" s="20"/>
      <c r="H1467" s="5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4"/>
      <c r="T1467" s="4"/>
      <c r="U1467" s="4"/>
      <c r="V1467" s="4"/>
      <c r="W1467" s="4"/>
      <c r="X1467" s="4"/>
      <c r="Y1467" s="4"/>
      <c r="Z1467" s="4"/>
      <c r="AA1467" s="4"/>
      <c r="AB1467" s="4"/>
      <c r="AC1467" s="4"/>
      <c r="AD1467" s="4"/>
      <c r="AE1467" s="4"/>
      <c r="AF1467" s="4"/>
      <c r="AG1467" s="4"/>
      <c r="AH1467" s="4"/>
      <c r="AI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</row>
    <row r="1468" spans="4:48" x14ac:dyDescent="0.3">
      <c r="D1468" s="5"/>
      <c r="E1468" s="5"/>
      <c r="F1468" s="20"/>
      <c r="G1468" s="20"/>
      <c r="H1468" s="5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4"/>
      <c r="T1468" s="4"/>
      <c r="U1468" s="4"/>
      <c r="V1468" s="4"/>
      <c r="W1468" s="4"/>
      <c r="X1468" s="4"/>
      <c r="Y1468" s="4"/>
      <c r="Z1468" s="4"/>
      <c r="AA1468" s="4"/>
      <c r="AB1468" s="4"/>
      <c r="AC1468" s="4"/>
      <c r="AD1468" s="4"/>
      <c r="AE1468" s="4"/>
      <c r="AF1468" s="4"/>
      <c r="AG1468" s="4"/>
      <c r="AH1468" s="4"/>
      <c r="AI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</row>
    <row r="1469" spans="4:48" x14ac:dyDescent="0.3">
      <c r="D1469" s="5"/>
      <c r="E1469" s="5"/>
      <c r="F1469" s="20"/>
      <c r="G1469" s="20"/>
      <c r="H1469" s="5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4"/>
      <c r="T1469" s="4"/>
      <c r="U1469" s="4"/>
      <c r="V1469" s="4"/>
      <c r="W1469" s="4"/>
      <c r="X1469" s="4"/>
      <c r="Y1469" s="4"/>
      <c r="Z1469" s="4"/>
      <c r="AA1469" s="4"/>
      <c r="AB1469" s="4"/>
      <c r="AC1469" s="4"/>
      <c r="AD1469" s="4"/>
      <c r="AE1469" s="4"/>
      <c r="AF1469" s="4"/>
      <c r="AG1469" s="4"/>
      <c r="AH1469" s="4"/>
      <c r="AI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</row>
    <row r="1470" spans="4:48" x14ac:dyDescent="0.3">
      <c r="D1470" s="5"/>
      <c r="E1470" s="5"/>
      <c r="F1470" s="20"/>
      <c r="G1470" s="20"/>
      <c r="H1470" s="5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4"/>
      <c r="T1470" s="4"/>
      <c r="U1470" s="4"/>
      <c r="V1470" s="4"/>
      <c r="W1470" s="4"/>
      <c r="X1470" s="4"/>
      <c r="Y1470" s="4"/>
      <c r="Z1470" s="4"/>
      <c r="AA1470" s="4"/>
      <c r="AB1470" s="4"/>
      <c r="AC1470" s="4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</row>
    <row r="1471" spans="4:48" x14ac:dyDescent="0.3">
      <c r="D1471" s="5"/>
      <c r="E1471" s="5"/>
      <c r="F1471" s="20"/>
      <c r="G1471" s="20"/>
      <c r="H1471" s="5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4"/>
      <c r="T1471" s="4"/>
      <c r="U1471" s="4"/>
      <c r="V1471" s="4"/>
      <c r="W1471" s="4"/>
      <c r="X1471" s="4"/>
      <c r="Y1471" s="4"/>
      <c r="Z1471" s="4"/>
      <c r="AA1471" s="4"/>
      <c r="AB1471" s="4"/>
      <c r="AC1471" s="4"/>
      <c r="AD1471" s="4"/>
      <c r="AE1471" s="4"/>
      <c r="AF1471" s="4"/>
      <c r="AG1471" s="4"/>
      <c r="AH1471" s="4"/>
      <c r="AI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</row>
    <row r="1472" spans="4:48" x14ac:dyDescent="0.3">
      <c r="D1472" s="5"/>
      <c r="E1472" s="5"/>
      <c r="F1472" s="20"/>
      <c r="G1472" s="20"/>
      <c r="H1472" s="5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4"/>
      <c r="T1472" s="4"/>
      <c r="U1472" s="4"/>
      <c r="V1472" s="4"/>
      <c r="W1472" s="4"/>
      <c r="X1472" s="4"/>
      <c r="Y1472" s="4"/>
      <c r="Z1472" s="4"/>
      <c r="AA1472" s="4"/>
      <c r="AB1472" s="4"/>
      <c r="AC1472" s="4"/>
      <c r="AD1472" s="4"/>
      <c r="AE1472" s="4"/>
      <c r="AF1472" s="4"/>
      <c r="AG1472" s="4"/>
      <c r="AH1472" s="4"/>
      <c r="AI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</row>
    <row r="1473" spans="4:48" x14ac:dyDescent="0.3">
      <c r="D1473" s="5"/>
      <c r="E1473" s="5"/>
      <c r="F1473" s="20"/>
      <c r="G1473" s="20"/>
      <c r="H1473" s="5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4"/>
      <c r="T1473" s="4"/>
      <c r="U1473" s="4"/>
      <c r="V1473" s="4"/>
      <c r="W1473" s="4"/>
      <c r="X1473" s="4"/>
      <c r="Y1473" s="4"/>
      <c r="Z1473" s="4"/>
      <c r="AA1473" s="4"/>
      <c r="AB1473" s="4"/>
      <c r="AC1473" s="4"/>
      <c r="AD1473" s="4"/>
      <c r="AE1473" s="4"/>
      <c r="AF1473" s="4"/>
      <c r="AG1473" s="4"/>
      <c r="AH1473" s="4"/>
      <c r="AI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</row>
    <row r="1474" spans="4:48" x14ac:dyDescent="0.3">
      <c r="D1474" s="5"/>
      <c r="E1474" s="5"/>
      <c r="F1474" s="20"/>
      <c r="G1474" s="20"/>
      <c r="H1474" s="5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4"/>
      <c r="T1474" s="4"/>
      <c r="U1474" s="4"/>
      <c r="V1474" s="4"/>
      <c r="W1474" s="4"/>
      <c r="X1474" s="4"/>
      <c r="Y1474" s="4"/>
      <c r="Z1474" s="4"/>
      <c r="AA1474" s="4"/>
      <c r="AB1474" s="4"/>
      <c r="AC1474" s="4"/>
      <c r="AD1474" s="4"/>
      <c r="AE1474" s="4"/>
      <c r="AF1474" s="4"/>
      <c r="AG1474" s="4"/>
      <c r="AH1474" s="4"/>
      <c r="AI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</row>
    <row r="1475" spans="4:48" x14ac:dyDescent="0.3">
      <c r="D1475" s="5"/>
      <c r="E1475" s="5"/>
      <c r="F1475" s="20"/>
      <c r="G1475" s="20"/>
      <c r="H1475" s="5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4"/>
      <c r="T1475" s="4"/>
      <c r="U1475" s="4"/>
      <c r="V1475" s="4"/>
      <c r="W1475" s="4"/>
      <c r="X1475" s="4"/>
      <c r="Y1475" s="4"/>
      <c r="Z1475" s="4"/>
      <c r="AA1475" s="4"/>
      <c r="AB1475" s="4"/>
      <c r="AC1475" s="4"/>
      <c r="AD1475" s="4"/>
      <c r="AE1475" s="4"/>
      <c r="AF1475" s="4"/>
      <c r="AG1475" s="4"/>
      <c r="AH1475" s="4"/>
      <c r="AI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</row>
    <row r="1476" spans="4:48" x14ac:dyDescent="0.3">
      <c r="D1476" s="5"/>
      <c r="E1476" s="5"/>
      <c r="F1476" s="20"/>
      <c r="G1476" s="20"/>
      <c r="H1476" s="5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4"/>
      <c r="T1476" s="4"/>
      <c r="U1476" s="4"/>
      <c r="V1476" s="4"/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  <c r="AG1476" s="4"/>
      <c r="AH1476" s="4"/>
      <c r="AI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</row>
    <row r="1477" spans="4:48" x14ac:dyDescent="0.3">
      <c r="D1477" s="5"/>
      <c r="E1477" s="5"/>
      <c r="F1477" s="20"/>
      <c r="G1477" s="20"/>
      <c r="H1477" s="5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4"/>
      <c r="T1477" s="4"/>
      <c r="U1477" s="4"/>
      <c r="V1477" s="4"/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  <c r="AG1477" s="4"/>
      <c r="AH1477" s="4"/>
      <c r="AI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</row>
    <row r="1478" spans="4:48" x14ac:dyDescent="0.3">
      <c r="D1478" s="5"/>
      <c r="E1478" s="5"/>
      <c r="F1478" s="20"/>
      <c r="G1478" s="20"/>
      <c r="H1478" s="5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4"/>
      <c r="T1478" s="4"/>
      <c r="U1478" s="4"/>
      <c r="V1478" s="4"/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  <c r="AG1478" s="4"/>
      <c r="AH1478" s="4"/>
      <c r="AI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</row>
    <row r="1479" spans="4:48" x14ac:dyDescent="0.3">
      <c r="D1479" s="5"/>
      <c r="E1479" s="5"/>
      <c r="F1479" s="20"/>
      <c r="G1479" s="20"/>
      <c r="H1479" s="5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4"/>
      <c r="T1479" s="4"/>
      <c r="U1479" s="4"/>
      <c r="V1479" s="4"/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  <c r="AG1479" s="4"/>
      <c r="AH1479" s="4"/>
      <c r="AI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</row>
    <row r="1480" spans="4:48" x14ac:dyDescent="0.3">
      <c r="D1480" s="5"/>
      <c r="E1480" s="5"/>
      <c r="F1480" s="20"/>
      <c r="G1480" s="20"/>
      <c r="H1480" s="5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4"/>
      <c r="T1480" s="4"/>
      <c r="U1480" s="4"/>
      <c r="V1480" s="4"/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  <c r="AG1480" s="4"/>
      <c r="AH1480" s="4"/>
      <c r="AI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</row>
    <row r="1481" spans="4:48" x14ac:dyDescent="0.3">
      <c r="D1481" s="5"/>
      <c r="E1481" s="5"/>
      <c r="F1481" s="20"/>
      <c r="G1481" s="20"/>
      <c r="H1481" s="5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4"/>
      <c r="T1481" s="4"/>
      <c r="U1481" s="4"/>
      <c r="V1481" s="4"/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</row>
    <row r="1482" spans="4:48" x14ac:dyDescent="0.3">
      <c r="D1482" s="5"/>
      <c r="E1482" s="5"/>
      <c r="F1482" s="20"/>
      <c r="G1482" s="20"/>
      <c r="H1482" s="5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4"/>
      <c r="T1482" s="4"/>
      <c r="U1482" s="4"/>
      <c r="V1482" s="4"/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  <c r="AG1482" s="4"/>
      <c r="AH1482" s="4"/>
      <c r="AI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</row>
    <row r="1483" spans="4:48" x14ac:dyDescent="0.3">
      <c r="D1483" s="5"/>
      <c r="E1483" s="5"/>
      <c r="F1483" s="20"/>
      <c r="G1483" s="20"/>
      <c r="H1483" s="5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4"/>
      <c r="T1483" s="4"/>
      <c r="U1483" s="4"/>
      <c r="V1483" s="4"/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  <c r="AG1483" s="4"/>
      <c r="AH1483" s="4"/>
      <c r="AI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</row>
    <row r="1484" spans="4:48" x14ac:dyDescent="0.3">
      <c r="D1484" s="5"/>
      <c r="E1484" s="5"/>
      <c r="F1484" s="20"/>
      <c r="G1484" s="20"/>
      <c r="H1484" s="5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4"/>
      <c r="T1484" s="4"/>
      <c r="U1484" s="4"/>
      <c r="V1484" s="4"/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  <c r="AG1484" s="4"/>
      <c r="AH1484" s="4"/>
      <c r="AI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</row>
    <row r="1485" spans="4:48" x14ac:dyDescent="0.3">
      <c r="D1485" s="5"/>
      <c r="E1485" s="5"/>
      <c r="F1485" s="20"/>
      <c r="G1485" s="20"/>
      <c r="H1485" s="5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4"/>
      <c r="T1485" s="4"/>
      <c r="U1485" s="4"/>
      <c r="V1485" s="4"/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  <c r="AG1485" s="4"/>
      <c r="AH1485" s="4"/>
      <c r="AI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</row>
    <row r="1486" spans="4:48" x14ac:dyDescent="0.3">
      <c r="D1486" s="5"/>
      <c r="E1486" s="5"/>
      <c r="F1486" s="20"/>
      <c r="G1486" s="20"/>
      <c r="H1486" s="5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4"/>
      <c r="T1486" s="4"/>
      <c r="U1486" s="4"/>
      <c r="V1486" s="4"/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  <c r="AG1486" s="4"/>
      <c r="AH1486" s="4"/>
      <c r="AI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</row>
    <row r="1487" spans="4:48" x14ac:dyDescent="0.3">
      <c r="D1487" s="5"/>
      <c r="E1487" s="5"/>
      <c r="F1487" s="20"/>
      <c r="G1487" s="20"/>
      <c r="H1487" s="5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4"/>
      <c r="T1487" s="4"/>
      <c r="U1487" s="4"/>
      <c r="V1487" s="4"/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  <c r="AG1487" s="4"/>
      <c r="AH1487" s="4"/>
      <c r="AI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</row>
    <row r="1488" spans="4:48" x14ac:dyDescent="0.3">
      <c r="D1488" s="5"/>
      <c r="E1488" s="5"/>
      <c r="F1488" s="20"/>
      <c r="G1488" s="20"/>
      <c r="H1488" s="5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4"/>
      <c r="T1488" s="4"/>
      <c r="U1488" s="4"/>
      <c r="V1488" s="4"/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  <c r="AG1488" s="4"/>
      <c r="AH1488" s="4"/>
      <c r="AI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</row>
    <row r="1489" spans="4:48" x14ac:dyDescent="0.3">
      <c r="D1489" s="5"/>
      <c r="E1489" s="5"/>
      <c r="F1489" s="20"/>
      <c r="G1489" s="20"/>
      <c r="H1489" s="5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4"/>
      <c r="T1489" s="4"/>
      <c r="U1489" s="4"/>
      <c r="V1489" s="4"/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  <c r="AG1489" s="4"/>
      <c r="AH1489" s="4"/>
      <c r="AI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</row>
    <row r="1490" spans="4:48" x14ac:dyDescent="0.3">
      <c r="D1490" s="5"/>
      <c r="E1490" s="5"/>
      <c r="F1490" s="20"/>
      <c r="G1490" s="20"/>
      <c r="H1490" s="5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4"/>
      <c r="T1490" s="4"/>
      <c r="U1490" s="4"/>
      <c r="V1490" s="4"/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  <c r="AG1490" s="4"/>
      <c r="AH1490" s="4"/>
      <c r="AI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</row>
    <row r="1491" spans="4:48" x14ac:dyDescent="0.3">
      <c r="D1491" s="5"/>
      <c r="E1491" s="5"/>
      <c r="F1491" s="20"/>
      <c r="G1491" s="20"/>
      <c r="H1491" s="5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4"/>
      <c r="T1491" s="4"/>
      <c r="U1491" s="4"/>
      <c r="V1491" s="4"/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  <c r="AG1491" s="4"/>
      <c r="AH1491" s="4"/>
      <c r="AI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</row>
    <row r="1492" spans="4:48" x14ac:dyDescent="0.3">
      <c r="D1492" s="5"/>
      <c r="E1492" s="5"/>
      <c r="F1492" s="20"/>
      <c r="G1492" s="20"/>
      <c r="H1492" s="5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4"/>
      <c r="T1492" s="4"/>
      <c r="U1492" s="4"/>
      <c r="V1492" s="4"/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  <c r="AG1492" s="4"/>
      <c r="AH1492" s="4"/>
      <c r="AI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</row>
    <row r="1493" spans="4:48" x14ac:dyDescent="0.3">
      <c r="D1493" s="5"/>
      <c r="E1493" s="5"/>
      <c r="F1493" s="20"/>
      <c r="G1493" s="20"/>
      <c r="H1493" s="5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4"/>
      <c r="T1493" s="4"/>
      <c r="U1493" s="4"/>
      <c r="V1493" s="4"/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  <c r="AG1493" s="4"/>
      <c r="AH1493" s="4"/>
      <c r="AI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</row>
    <row r="1494" spans="4:48" x14ac:dyDescent="0.3">
      <c r="D1494" s="5"/>
      <c r="E1494" s="5"/>
      <c r="F1494" s="20"/>
      <c r="G1494" s="20"/>
      <c r="H1494" s="5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4"/>
      <c r="T1494" s="4"/>
      <c r="U1494" s="4"/>
      <c r="V1494" s="4"/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  <c r="AG1494" s="4"/>
      <c r="AH1494" s="4"/>
      <c r="AI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</row>
    <row r="1495" spans="4:48" x14ac:dyDescent="0.3">
      <c r="D1495" s="5"/>
      <c r="E1495" s="5"/>
      <c r="F1495" s="20"/>
      <c r="G1495" s="20"/>
      <c r="H1495" s="5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4"/>
      <c r="T1495" s="4"/>
      <c r="U1495" s="4"/>
      <c r="V1495" s="4"/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  <c r="AG1495" s="4"/>
      <c r="AH1495" s="4"/>
      <c r="AI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</row>
    <row r="1496" spans="4:48" x14ac:dyDescent="0.3">
      <c r="D1496" s="5"/>
      <c r="E1496" s="5"/>
      <c r="F1496" s="20"/>
      <c r="G1496" s="20"/>
      <c r="H1496" s="5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4"/>
      <c r="T1496" s="4"/>
      <c r="U1496" s="4"/>
      <c r="V1496" s="4"/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  <c r="AG1496" s="4"/>
      <c r="AH1496" s="4"/>
      <c r="AI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</row>
    <row r="1497" spans="4:48" x14ac:dyDescent="0.3">
      <c r="D1497" s="5"/>
      <c r="E1497" s="5"/>
      <c r="F1497" s="20"/>
      <c r="G1497" s="20"/>
      <c r="H1497" s="5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4"/>
      <c r="T1497" s="4"/>
      <c r="U1497" s="4"/>
      <c r="V1497" s="4"/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  <c r="AG1497" s="4"/>
      <c r="AH1497" s="4"/>
      <c r="AI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</row>
    <row r="1498" spans="4:48" x14ac:dyDescent="0.3">
      <c r="D1498" s="5"/>
      <c r="E1498" s="5"/>
      <c r="F1498" s="20"/>
      <c r="G1498" s="20"/>
      <c r="H1498" s="5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4"/>
      <c r="T1498" s="4"/>
      <c r="U1498" s="4"/>
      <c r="V1498" s="4"/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  <c r="AG1498" s="4"/>
      <c r="AH1498" s="4"/>
      <c r="AI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</row>
    <row r="1499" spans="4:48" x14ac:dyDescent="0.3">
      <c r="D1499" s="5"/>
      <c r="E1499" s="5"/>
      <c r="F1499" s="20"/>
      <c r="G1499" s="20"/>
      <c r="H1499" s="5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4"/>
      <c r="T1499" s="4"/>
      <c r="U1499" s="4"/>
      <c r="V1499" s="4"/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  <c r="AG1499" s="4"/>
      <c r="AH1499" s="4"/>
      <c r="AI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</row>
    <row r="1500" spans="4:48" x14ac:dyDescent="0.3">
      <c r="D1500" s="5"/>
      <c r="E1500" s="5"/>
      <c r="F1500" s="20"/>
      <c r="G1500" s="20"/>
      <c r="H1500" s="5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4"/>
      <c r="T1500" s="4"/>
      <c r="U1500" s="4"/>
      <c r="V1500" s="4"/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  <c r="AG1500" s="4"/>
      <c r="AH1500" s="4"/>
      <c r="AI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</row>
    <row r="1501" spans="4:48" x14ac:dyDescent="0.3">
      <c r="D1501" s="5"/>
      <c r="E1501" s="5"/>
      <c r="F1501" s="20"/>
      <c r="G1501" s="20"/>
      <c r="H1501" s="5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4"/>
      <c r="T1501" s="4"/>
      <c r="U1501" s="4"/>
      <c r="V1501" s="4"/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  <c r="AG1501" s="4"/>
      <c r="AH1501" s="4"/>
      <c r="AI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</row>
    <row r="1502" spans="4:48" x14ac:dyDescent="0.3">
      <c r="D1502" s="5"/>
      <c r="E1502" s="5"/>
      <c r="F1502" s="20"/>
      <c r="G1502" s="20"/>
      <c r="H1502" s="5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4"/>
      <c r="T1502" s="4"/>
      <c r="U1502" s="4"/>
      <c r="V1502" s="4"/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  <c r="AG1502" s="4"/>
      <c r="AH1502" s="4"/>
      <c r="AI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</row>
    <row r="1503" spans="4:48" x14ac:dyDescent="0.3">
      <c r="D1503" s="5"/>
      <c r="E1503" s="5"/>
      <c r="F1503" s="20"/>
      <c r="G1503" s="20"/>
      <c r="H1503" s="5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4"/>
      <c r="T1503" s="4"/>
      <c r="U1503" s="4"/>
      <c r="V1503" s="4"/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  <c r="AG1503" s="4"/>
      <c r="AH1503" s="4"/>
      <c r="AI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</row>
    <row r="1504" spans="4:48" x14ac:dyDescent="0.3">
      <c r="D1504" s="5"/>
      <c r="E1504" s="5"/>
      <c r="F1504" s="20"/>
      <c r="G1504" s="20"/>
      <c r="H1504" s="5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4"/>
      <c r="T1504" s="4"/>
      <c r="U1504" s="4"/>
      <c r="V1504" s="4"/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  <c r="AG1504" s="4"/>
      <c r="AH1504" s="4"/>
      <c r="AI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</row>
    <row r="1505" spans="4:48" x14ac:dyDescent="0.3">
      <c r="D1505" s="5"/>
      <c r="E1505" s="5"/>
      <c r="F1505" s="20"/>
      <c r="G1505" s="20"/>
      <c r="H1505" s="5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4"/>
      <c r="T1505" s="4"/>
      <c r="U1505" s="4"/>
      <c r="V1505" s="4"/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  <c r="AG1505" s="4"/>
      <c r="AH1505" s="4"/>
      <c r="AI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</row>
    <row r="1506" spans="4:48" x14ac:dyDescent="0.3">
      <c r="D1506" s="5"/>
      <c r="E1506" s="5"/>
      <c r="F1506" s="20"/>
      <c r="G1506" s="20"/>
      <c r="H1506" s="5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4"/>
      <c r="T1506" s="4"/>
      <c r="U1506" s="4"/>
      <c r="V1506" s="4"/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  <c r="AG1506" s="4"/>
      <c r="AH1506" s="4"/>
      <c r="AI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</row>
    <row r="1507" spans="4:48" x14ac:dyDescent="0.3">
      <c r="D1507" s="5"/>
      <c r="E1507" s="5"/>
      <c r="F1507" s="20"/>
      <c r="G1507" s="20"/>
      <c r="H1507" s="5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4"/>
      <c r="T1507" s="4"/>
      <c r="U1507" s="4"/>
      <c r="V1507" s="4"/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  <c r="AG1507" s="4"/>
      <c r="AH1507" s="4"/>
      <c r="AI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</row>
    <row r="1508" spans="4:48" x14ac:dyDescent="0.3">
      <c r="D1508" s="5"/>
      <c r="E1508" s="5"/>
      <c r="F1508" s="20"/>
      <c r="G1508" s="20"/>
      <c r="H1508" s="5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4"/>
      <c r="T1508" s="4"/>
      <c r="U1508" s="4"/>
      <c r="V1508" s="4"/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  <c r="AG1508" s="4"/>
      <c r="AH1508" s="4"/>
      <c r="AI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</row>
    <row r="1509" spans="4:48" x14ac:dyDescent="0.3">
      <c r="D1509" s="5"/>
      <c r="E1509" s="5"/>
      <c r="F1509" s="20"/>
      <c r="G1509" s="20"/>
      <c r="H1509" s="5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4"/>
      <c r="T1509" s="4"/>
      <c r="U1509" s="4"/>
      <c r="V1509" s="4"/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  <c r="AG1509" s="4"/>
      <c r="AH1509" s="4"/>
      <c r="AI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</row>
    <row r="1510" spans="4:48" x14ac:dyDescent="0.3">
      <c r="D1510" s="5"/>
      <c r="E1510" s="5"/>
      <c r="F1510" s="20"/>
      <c r="G1510" s="20"/>
      <c r="H1510" s="5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4"/>
      <c r="T1510" s="4"/>
      <c r="U1510" s="4"/>
      <c r="V1510" s="4"/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  <c r="AG1510" s="4"/>
      <c r="AH1510" s="4"/>
      <c r="AI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</row>
    <row r="1511" spans="4:48" x14ac:dyDescent="0.3">
      <c r="D1511" s="5"/>
      <c r="E1511" s="5"/>
      <c r="F1511" s="20"/>
      <c r="G1511" s="20"/>
      <c r="H1511" s="5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4"/>
      <c r="T1511" s="4"/>
      <c r="U1511" s="4"/>
      <c r="V1511" s="4"/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  <c r="AG1511" s="4"/>
      <c r="AH1511" s="4"/>
      <c r="AI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</row>
    <row r="1512" spans="4:48" x14ac:dyDescent="0.3">
      <c r="D1512" s="5"/>
      <c r="E1512" s="5"/>
      <c r="F1512" s="20"/>
      <c r="G1512" s="20"/>
      <c r="H1512" s="5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4"/>
      <c r="T1512" s="4"/>
      <c r="U1512" s="4"/>
      <c r="V1512" s="4"/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  <c r="AG1512" s="4"/>
      <c r="AH1512" s="4"/>
      <c r="AI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</row>
    <row r="1513" spans="4:48" x14ac:dyDescent="0.3">
      <c r="D1513" s="5"/>
      <c r="E1513" s="5"/>
      <c r="F1513" s="20"/>
      <c r="G1513" s="20"/>
      <c r="H1513" s="5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4"/>
      <c r="T1513" s="4"/>
      <c r="U1513" s="4"/>
      <c r="V1513" s="4"/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  <c r="AG1513" s="4"/>
      <c r="AH1513" s="4"/>
      <c r="AI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</row>
    <row r="1514" spans="4:48" x14ac:dyDescent="0.3">
      <c r="D1514" s="5"/>
      <c r="E1514" s="5"/>
      <c r="F1514" s="20"/>
      <c r="G1514" s="20"/>
      <c r="H1514" s="5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4"/>
      <c r="T1514" s="4"/>
      <c r="U1514" s="4"/>
      <c r="V1514" s="4"/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  <c r="AG1514" s="4"/>
      <c r="AH1514" s="4"/>
      <c r="AI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</row>
    <row r="1515" spans="4:48" x14ac:dyDescent="0.3">
      <c r="D1515" s="5"/>
      <c r="E1515" s="5"/>
      <c r="F1515" s="20"/>
      <c r="G1515" s="20"/>
      <c r="H1515" s="5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4"/>
      <c r="T1515" s="4"/>
      <c r="U1515" s="4"/>
      <c r="V1515" s="4"/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  <c r="AG1515" s="4"/>
      <c r="AH1515" s="4"/>
      <c r="AI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</row>
    <row r="1516" spans="4:48" x14ac:dyDescent="0.3">
      <c r="D1516" s="5"/>
      <c r="E1516" s="5"/>
      <c r="F1516" s="20"/>
      <c r="G1516" s="20"/>
      <c r="H1516" s="5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4"/>
      <c r="T1516" s="4"/>
      <c r="U1516" s="4"/>
      <c r="V1516" s="4"/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  <c r="AG1516" s="4"/>
      <c r="AH1516" s="4"/>
      <c r="AI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</row>
    <row r="1517" spans="4:48" x14ac:dyDescent="0.3">
      <c r="D1517" s="5"/>
      <c r="E1517" s="5"/>
      <c r="F1517" s="20"/>
      <c r="G1517" s="20"/>
      <c r="H1517" s="5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4"/>
      <c r="T1517" s="4"/>
      <c r="U1517" s="4"/>
      <c r="V1517" s="4"/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  <c r="AG1517" s="4"/>
      <c r="AH1517" s="4"/>
      <c r="AI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</row>
    <row r="1518" spans="4:48" x14ac:dyDescent="0.3">
      <c r="D1518" s="5"/>
      <c r="E1518" s="5"/>
      <c r="F1518" s="20"/>
      <c r="G1518" s="20"/>
      <c r="H1518" s="5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4"/>
      <c r="T1518" s="4"/>
      <c r="U1518" s="4"/>
      <c r="V1518" s="4"/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  <c r="AG1518" s="4"/>
      <c r="AH1518" s="4"/>
      <c r="AI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</row>
    <row r="1519" spans="4:48" x14ac:dyDescent="0.3">
      <c r="D1519" s="5"/>
      <c r="E1519" s="5"/>
      <c r="F1519" s="20"/>
      <c r="G1519" s="20"/>
      <c r="H1519" s="5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4"/>
      <c r="T1519" s="4"/>
      <c r="U1519" s="4"/>
      <c r="V1519" s="4"/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  <c r="AG1519" s="4"/>
      <c r="AH1519" s="4"/>
      <c r="AI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</row>
    <row r="1520" spans="4:48" x14ac:dyDescent="0.3">
      <c r="D1520" s="5"/>
      <c r="E1520" s="5"/>
      <c r="F1520" s="20"/>
      <c r="G1520" s="20"/>
      <c r="H1520" s="5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4"/>
      <c r="T1520" s="4"/>
      <c r="U1520" s="4"/>
      <c r="V1520" s="4"/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  <c r="AG1520" s="4"/>
      <c r="AH1520" s="4"/>
      <c r="AI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</row>
    <row r="1521" spans="4:48" x14ac:dyDescent="0.3">
      <c r="D1521" s="5"/>
      <c r="E1521" s="5"/>
      <c r="F1521" s="20"/>
      <c r="G1521" s="20"/>
      <c r="H1521" s="5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4"/>
      <c r="T1521" s="4"/>
      <c r="U1521" s="4"/>
      <c r="V1521" s="4"/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  <c r="AG1521" s="4"/>
      <c r="AH1521" s="4"/>
      <c r="AI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</row>
    <row r="1522" spans="4:48" x14ac:dyDescent="0.3">
      <c r="D1522" s="5"/>
      <c r="E1522" s="5"/>
      <c r="F1522" s="20"/>
      <c r="G1522" s="20"/>
      <c r="H1522" s="5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4"/>
      <c r="T1522" s="4"/>
      <c r="U1522" s="4"/>
      <c r="V1522" s="4"/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  <c r="AG1522" s="4"/>
      <c r="AH1522" s="4"/>
      <c r="AI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</row>
    <row r="1523" spans="4:48" x14ac:dyDescent="0.3">
      <c r="D1523" s="5"/>
      <c r="E1523" s="5"/>
      <c r="F1523" s="20"/>
      <c r="G1523" s="20"/>
      <c r="H1523" s="5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4"/>
      <c r="T1523" s="4"/>
      <c r="U1523" s="4"/>
      <c r="V1523" s="4"/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  <c r="AG1523" s="4"/>
      <c r="AH1523" s="4"/>
      <c r="AI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</row>
    <row r="1524" spans="4:48" x14ac:dyDescent="0.3">
      <c r="D1524" s="5"/>
      <c r="E1524" s="5"/>
      <c r="F1524" s="20"/>
      <c r="G1524" s="20"/>
      <c r="H1524" s="5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  <c r="AG1524" s="4"/>
      <c r="AH1524" s="4"/>
      <c r="AI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</row>
    <row r="1525" spans="4:48" x14ac:dyDescent="0.3">
      <c r="D1525" s="5"/>
      <c r="E1525" s="5"/>
      <c r="F1525" s="20"/>
      <c r="G1525" s="20"/>
      <c r="H1525" s="5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  <c r="AG1525" s="4"/>
      <c r="AH1525" s="4"/>
      <c r="AI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</row>
    <row r="1526" spans="4:48" x14ac:dyDescent="0.3">
      <c r="D1526" s="5"/>
      <c r="E1526" s="5"/>
      <c r="F1526" s="20"/>
      <c r="G1526" s="20"/>
      <c r="H1526" s="5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4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  <c r="AG1526" s="4"/>
      <c r="AH1526" s="4"/>
      <c r="AI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</row>
    <row r="1527" spans="4:48" x14ac:dyDescent="0.3">
      <c r="D1527" s="5"/>
      <c r="E1527" s="5"/>
      <c r="F1527" s="20"/>
      <c r="G1527" s="20"/>
      <c r="H1527" s="5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4"/>
      <c r="T1527" s="4"/>
      <c r="U1527" s="4"/>
      <c r="V1527" s="4"/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  <c r="AG1527" s="4"/>
      <c r="AH1527" s="4"/>
      <c r="AI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</row>
    <row r="1528" spans="4:48" x14ac:dyDescent="0.3">
      <c r="D1528" s="5"/>
      <c r="E1528" s="5"/>
      <c r="F1528" s="20"/>
      <c r="G1528" s="20"/>
      <c r="H1528" s="5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4"/>
      <c r="T1528" s="4"/>
      <c r="U1528" s="4"/>
      <c r="V1528" s="4"/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  <c r="AG1528" s="4"/>
      <c r="AH1528" s="4"/>
      <c r="AI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</row>
    <row r="1529" spans="4:48" x14ac:dyDescent="0.3">
      <c r="D1529" s="5"/>
      <c r="E1529" s="5"/>
      <c r="F1529" s="20"/>
      <c r="G1529" s="20"/>
      <c r="H1529" s="5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4"/>
      <c r="T1529" s="4"/>
      <c r="U1529" s="4"/>
      <c r="V1529" s="4"/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  <c r="AG1529" s="4"/>
      <c r="AH1529" s="4"/>
      <c r="AI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</row>
    <row r="1530" spans="4:48" x14ac:dyDescent="0.3">
      <c r="D1530" s="5"/>
      <c r="E1530" s="5"/>
      <c r="F1530" s="20"/>
      <c r="G1530" s="20"/>
      <c r="H1530" s="5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4"/>
      <c r="T1530" s="4"/>
      <c r="U1530" s="4"/>
      <c r="V1530" s="4"/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  <c r="AG1530" s="4"/>
      <c r="AH1530" s="4"/>
      <c r="AI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</row>
    <row r="1531" spans="4:48" x14ac:dyDescent="0.3">
      <c r="D1531" s="5"/>
      <c r="E1531" s="5"/>
      <c r="F1531" s="20"/>
      <c r="G1531" s="20"/>
      <c r="H1531" s="5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4"/>
      <c r="T1531" s="4"/>
      <c r="U1531" s="4"/>
      <c r="V1531" s="4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  <c r="AG1531" s="4"/>
      <c r="AH1531" s="4"/>
      <c r="AI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</row>
    <row r="1532" spans="4:48" x14ac:dyDescent="0.3">
      <c r="D1532" s="5"/>
      <c r="E1532" s="5"/>
      <c r="F1532" s="20"/>
      <c r="G1532" s="20"/>
      <c r="H1532" s="5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4"/>
      <c r="T1532" s="4"/>
      <c r="U1532" s="4"/>
      <c r="V1532" s="4"/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  <c r="AG1532" s="4"/>
      <c r="AH1532" s="4"/>
      <c r="AI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</row>
    <row r="1533" spans="4:48" x14ac:dyDescent="0.3">
      <c r="D1533" s="5"/>
      <c r="E1533" s="5"/>
      <c r="F1533" s="20"/>
      <c r="G1533" s="20"/>
      <c r="H1533" s="5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4"/>
      <c r="T1533" s="4"/>
      <c r="U1533" s="4"/>
      <c r="V1533" s="4"/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  <c r="AG1533" s="4"/>
      <c r="AH1533" s="4"/>
      <c r="AI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</row>
    <row r="1534" spans="4:48" x14ac:dyDescent="0.3">
      <c r="D1534" s="5"/>
      <c r="E1534" s="5"/>
      <c r="F1534" s="20"/>
      <c r="G1534" s="20"/>
      <c r="H1534" s="5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4"/>
      <c r="T1534" s="4"/>
      <c r="U1534" s="4"/>
      <c r="V1534" s="4"/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  <c r="AG1534" s="4"/>
      <c r="AH1534" s="4"/>
      <c r="AI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</row>
    <row r="1535" spans="4:48" x14ac:dyDescent="0.3">
      <c r="D1535" s="5"/>
      <c r="E1535" s="5"/>
      <c r="F1535" s="20"/>
      <c r="G1535" s="20"/>
      <c r="H1535" s="5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4"/>
      <c r="T1535" s="4"/>
      <c r="U1535" s="4"/>
      <c r="V1535" s="4"/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  <c r="AG1535" s="4"/>
      <c r="AH1535" s="4"/>
      <c r="AI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</row>
    <row r="1536" spans="4:48" x14ac:dyDescent="0.3">
      <c r="D1536" s="5"/>
      <c r="E1536" s="5"/>
      <c r="F1536" s="20"/>
      <c r="G1536" s="20"/>
      <c r="H1536" s="5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4"/>
      <c r="T1536" s="4"/>
      <c r="U1536" s="4"/>
      <c r="V1536" s="4"/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  <c r="AG1536" s="4"/>
      <c r="AH1536" s="4"/>
      <c r="AI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</row>
    <row r="1537" spans="4:48" x14ac:dyDescent="0.3">
      <c r="D1537" s="5"/>
      <c r="E1537" s="5"/>
      <c r="F1537" s="20"/>
      <c r="G1537" s="20"/>
      <c r="H1537" s="5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4"/>
      <c r="T1537" s="4"/>
      <c r="U1537" s="4"/>
      <c r="V1537" s="4"/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  <c r="AG1537" s="4"/>
      <c r="AH1537" s="4"/>
      <c r="AI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</row>
    <row r="1538" spans="4:48" x14ac:dyDescent="0.3">
      <c r="D1538" s="5"/>
      <c r="E1538" s="5"/>
      <c r="F1538" s="20"/>
      <c r="G1538" s="20"/>
      <c r="H1538" s="5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4"/>
      <c r="T1538" s="4"/>
      <c r="U1538" s="4"/>
      <c r="V1538" s="4"/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  <c r="AG1538" s="4"/>
      <c r="AH1538" s="4"/>
      <c r="AI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</row>
    <row r="1539" spans="4:48" x14ac:dyDescent="0.3">
      <c r="D1539" s="5"/>
      <c r="E1539" s="5"/>
      <c r="F1539" s="20"/>
      <c r="G1539" s="20"/>
      <c r="H1539" s="5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4"/>
      <c r="T1539" s="4"/>
      <c r="U1539" s="4"/>
      <c r="V1539" s="4"/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  <c r="AG1539" s="4"/>
      <c r="AH1539" s="4"/>
      <c r="AI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</row>
    <row r="1540" spans="4:48" x14ac:dyDescent="0.3">
      <c r="D1540" s="5"/>
      <c r="E1540" s="5"/>
      <c r="F1540" s="20"/>
      <c r="G1540" s="20"/>
      <c r="H1540" s="5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4"/>
      <c r="T1540" s="4"/>
      <c r="U1540" s="4"/>
      <c r="V1540" s="4"/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  <c r="AG1540" s="4"/>
      <c r="AH1540" s="4"/>
      <c r="AI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</row>
    <row r="1541" spans="4:48" x14ac:dyDescent="0.3">
      <c r="D1541" s="5"/>
      <c r="E1541" s="5"/>
      <c r="F1541" s="20"/>
      <c r="G1541" s="20"/>
      <c r="H1541" s="5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4"/>
      <c r="T1541" s="4"/>
      <c r="U1541" s="4"/>
      <c r="V1541" s="4"/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  <c r="AG1541" s="4"/>
      <c r="AH1541" s="4"/>
      <c r="AI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</row>
    <row r="1542" spans="4:48" x14ac:dyDescent="0.3">
      <c r="D1542" s="5"/>
      <c r="E1542" s="5"/>
      <c r="F1542" s="20"/>
      <c r="G1542" s="20"/>
      <c r="H1542" s="5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4"/>
      <c r="T1542" s="4"/>
      <c r="U1542" s="4"/>
      <c r="V1542" s="4"/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  <c r="AG1542" s="4"/>
      <c r="AH1542" s="4"/>
      <c r="AI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</row>
    <row r="1543" spans="4:48" x14ac:dyDescent="0.3">
      <c r="D1543" s="5"/>
      <c r="E1543" s="5"/>
      <c r="F1543" s="20"/>
      <c r="G1543" s="20"/>
      <c r="H1543" s="5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4"/>
      <c r="T1543" s="4"/>
      <c r="U1543" s="4"/>
      <c r="V1543" s="4"/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  <c r="AG1543" s="4"/>
      <c r="AH1543" s="4"/>
      <c r="AI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</row>
    <row r="1544" spans="4:48" x14ac:dyDescent="0.3">
      <c r="D1544" s="5"/>
      <c r="E1544" s="5"/>
      <c r="F1544" s="20"/>
      <c r="G1544" s="20"/>
      <c r="H1544" s="5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4"/>
      <c r="T1544" s="4"/>
      <c r="U1544" s="4"/>
      <c r="V1544" s="4"/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  <c r="AG1544" s="4"/>
      <c r="AH1544" s="4"/>
      <c r="AI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</row>
    <row r="1545" spans="4:48" x14ac:dyDescent="0.3">
      <c r="D1545" s="5"/>
      <c r="E1545" s="5"/>
      <c r="F1545" s="20"/>
      <c r="G1545" s="20"/>
      <c r="H1545" s="5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4"/>
      <c r="T1545" s="4"/>
      <c r="U1545" s="4"/>
      <c r="V1545" s="4"/>
      <c r="W1545" s="4"/>
      <c r="X1545" s="4"/>
      <c r="Y1545" s="4"/>
      <c r="Z1545" s="4"/>
      <c r="AA1545" s="4"/>
      <c r="AB1545" s="4"/>
      <c r="AC1545" s="4"/>
      <c r="AD1545" s="4"/>
      <c r="AE1545" s="4"/>
      <c r="AF1545" s="4"/>
      <c r="AG1545" s="4"/>
      <c r="AH1545" s="4"/>
      <c r="AI1545" s="4"/>
      <c r="AJ1545" s="4"/>
      <c r="AK1545" s="4"/>
      <c r="AL1545" s="4"/>
      <c r="AM1545" s="4"/>
      <c r="AN1545" s="4"/>
      <c r="AO1545" s="4"/>
      <c r="AP1545" s="4"/>
      <c r="AQ1545" s="4"/>
      <c r="AR1545" s="4"/>
      <c r="AS1545" s="4"/>
      <c r="AT1545" s="4"/>
      <c r="AU1545" s="4"/>
      <c r="AV1545" s="4"/>
    </row>
    <row r="1546" spans="4:48" x14ac:dyDescent="0.3">
      <c r="D1546" s="5"/>
      <c r="E1546" s="5"/>
      <c r="F1546" s="20"/>
      <c r="G1546" s="20"/>
      <c r="H1546" s="5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4"/>
      <c r="T1546" s="4"/>
      <c r="U1546" s="4"/>
      <c r="V1546" s="4"/>
      <c r="W1546" s="4"/>
      <c r="X1546" s="4"/>
      <c r="Y1546" s="4"/>
      <c r="Z1546" s="4"/>
      <c r="AA1546" s="4"/>
      <c r="AB1546" s="4"/>
      <c r="AC1546" s="4"/>
      <c r="AD1546" s="4"/>
      <c r="AE1546" s="4"/>
      <c r="AF1546" s="4"/>
      <c r="AG1546" s="4"/>
      <c r="AH1546" s="4"/>
      <c r="AI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</row>
    <row r="1547" spans="4:48" x14ac:dyDescent="0.3">
      <c r="D1547" s="5"/>
      <c r="E1547" s="5"/>
      <c r="F1547" s="20"/>
      <c r="G1547" s="20"/>
      <c r="H1547" s="5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4"/>
      <c r="T1547" s="4"/>
      <c r="U1547" s="4"/>
      <c r="V1547" s="4"/>
      <c r="W1547" s="4"/>
      <c r="X1547" s="4"/>
      <c r="Y1547" s="4"/>
      <c r="Z1547" s="4"/>
      <c r="AA1547" s="4"/>
      <c r="AB1547" s="4"/>
      <c r="AC1547" s="4"/>
      <c r="AD1547" s="4"/>
      <c r="AE1547" s="4"/>
      <c r="AF1547" s="4"/>
      <c r="AG1547" s="4"/>
      <c r="AH1547" s="4"/>
      <c r="AI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</row>
    <row r="1548" spans="4:48" x14ac:dyDescent="0.3">
      <c r="D1548" s="5"/>
      <c r="E1548" s="5"/>
      <c r="F1548" s="20"/>
      <c r="G1548" s="20"/>
      <c r="H1548" s="5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4"/>
      <c r="T1548" s="4"/>
      <c r="U1548" s="4"/>
      <c r="V1548" s="4"/>
      <c r="W1548" s="4"/>
      <c r="X1548" s="4"/>
      <c r="Y1548" s="4"/>
      <c r="Z1548" s="4"/>
      <c r="AA1548" s="4"/>
      <c r="AB1548" s="4"/>
      <c r="AC1548" s="4"/>
      <c r="AD1548" s="4"/>
      <c r="AE1548" s="4"/>
      <c r="AF1548" s="4"/>
      <c r="AG1548" s="4"/>
      <c r="AH1548" s="4"/>
      <c r="AI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</row>
    <row r="1549" spans="4:48" x14ac:dyDescent="0.3">
      <c r="D1549" s="5"/>
      <c r="E1549" s="5"/>
      <c r="F1549" s="20"/>
      <c r="G1549" s="20"/>
      <c r="H1549" s="5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4"/>
      <c r="T1549" s="4"/>
      <c r="U1549" s="4"/>
      <c r="V1549" s="4"/>
      <c r="W1549" s="4"/>
      <c r="X1549" s="4"/>
      <c r="Y1549" s="4"/>
      <c r="Z1549" s="4"/>
      <c r="AA1549" s="4"/>
      <c r="AB1549" s="4"/>
      <c r="AC1549" s="4"/>
      <c r="AD1549" s="4"/>
      <c r="AE1549" s="4"/>
      <c r="AF1549" s="4"/>
      <c r="AG1549" s="4"/>
      <c r="AH1549" s="4"/>
      <c r="AI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</row>
    <row r="1550" spans="4:48" x14ac:dyDescent="0.3">
      <c r="D1550" s="5"/>
      <c r="E1550" s="5"/>
      <c r="F1550" s="20"/>
      <c r="G1550" s="20"/>
      <c r="H1550" s="5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4"/>
      <c r="T1550" s="4"/>
      <c r="U1550" s="4"/>
      <c r="V1550" s="4"/>
      <c r="W1550" s="4"/>
      <c r="X1550" s="4"/>
      <c r="Y1550" s="4"/>
      <c r="Z1550" s="4"/>
      <c r="AA1550" s="4"/>
      <c r="AB1550" s="4"/>
      <c r="AC1550" s="4"/>
      <c r="AD1550" s="4"/>
      <c r="AE1550" s="4"/>
      <c r="AF1550" s="4"/>
      <c r="AG1550" s="4"/>
      <c r="AH1550" s="4"/>
      <c r="AI1550" s="4"/>
      <c r="AJ1550" s="4"/>
      <c r="AK1550" s="4"/>
      <c r="AL1550" s="4"/>
      <c r="AM1550" s="4"/>
      <c r="AN1550" s="4"/>
      <c r="AO1550" s="4"/>
      <c r="AP1550" s="4"/>
      <c r="AQ1550" s="4"/>
      <c r="AR1550" s="4"/>
      <c r="AS1550" s="4"/>
      <c r="AT1550" s="4"/>
      <c r="AU1550" s="4"/>
      <c r="AV1550" s="4"/>
    </row>
    <row r="1551" spans="4:48" x14ac:dyDescent="0.3">
      <c r="D1551" s="5"/>
      <c r="E1551" s="5"/>
      <c r="F1551" s="20"/>
      <c r="G1551" s="20"/>
      <c r="H1551" s="5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4"/>
      <c r="T1551" s="4"/>
      <c r="U1551" s="4"/>
      <c r="V1551" s="4"/>
      <c r="W1551" s="4"/>
      <c r="X1551" s="4"/>
      <c r="Y1551" s="4"/>
      <c r="Z1551" s="4"/>
      <c r="AA1551" s="4"/>
      <c r="AB1551" s="4"/>
      <c r="AC1551" s="4"/>
      <c r="AD1551" s="4"/>
      <c r="AE1551" s="4"/>
      <c r="AF1551" s="4"/>
      <c r="AG1551" s="4"/>
      <c r="AH1551" s="4"/>
      <c r="AI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</row>
    <row r="1552" spans="4:48" x14ac:dyDescent="0.3">
      <c r="D1552" s="5"/>
      <c r="E1552" s="5"/>
      <c r="F1552" s="20"/>
      <c r="G1552" s="20"/>
      <c r="H1552" s="5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4"/>
      <c r="T1552" s="4"/>
      <c r="U1552" s="4"/>
      <c r="V1552" s="4"/>
      <c r="W1552" s="4"/>
      <c r="X1552" s="4"/>
      <c r="Y1552" s="4"/>
      <c r="Z1552" s="4"/>
      <c r="AA1552" s="4"/>
      <c r="AB1552" s="4"/>
      <c r="AC1552" s="4"/>
      <c r="AD1552" s="4"/>
      <c r="AE1552" s="4"/>
      <c r="AF1552" s="4"/>
      <c r="AG1552" s="4"/>
      <c r="AH1552" s="4"/>
      <c r="AI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</row>
    <row r="1553" spans="4:48" x14ac:dyDescent="0.3">
      <c r="D1553" s="5"/>
      <c r="E1553" s="5"/>
      <c r="F1553" s="20"/>
      <c r="G1553" s="20"/>
      <c r="H1553" s="5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4"/>
      <c r="T1553" s="4"/>
      <c r="U1553" s="4"/>
      <c r="V1553" s="4"/>
      <c r="W1553" s="4"/>
      <c r="X1553" s="4"/>
      <c r="Y1553" s="4"/>
      <c r="Z1553" s="4"/>
      <c r="AA1553" s="4"/>
      <c r="AB1553" s="4"/>
      <c r="AC1553" s="4"/>
      <c r="AD1553" s="4"/>
      <c r="AE1553" s="4"/>
      <c r="AF1553" s="4"/>
      <c r="AG1553" s="4"/>
      <c r="AH1553" s="4"/>
      <c r="AI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</row>
    <row r="1554" spans="4:48" x14ac:dyDescent="0.3">
      <c r="D1554" s="5"/>
      <c r="E1554" s="5"/>
      <c r="F1554" s="20"/>
      <c r="G1554" s="20"/>
      <c r="H1554" s="5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4"/>
      <c r="T1554" s="4"/>
      <c r="U1554" s="4"/>
      <c r="V1554" s="4"/>
      <c r="W1554" s="4"/>
      <c r="X1554" s="4"/>
      <c r="Y1554" s="4"/>
      <c r="Z1554" s="4"/>
      <c r="AA1554" s="4"/>
      <c r="AB1554" s="4"/>
      <c r="AC1554" s="4"/>
      <c r="AD1554" s="4"/>
      <c r="AE1554" s="4"/>
      <c r="AF1554" s="4"/>
      <c r="AG1554" s="4"/>
      <c r="AH1554" s="4"/>
      <c r="AI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</row>
    <row r="1555" spans="4:48" x14ac:dyDescent="0.3">
      <c r="D1555" s="5"/>
      <c r="E1555" s="5"/>
      <c r="F1555" s="20"/>
      <c r="G1555" s="20"/>
      <c r="H1555" s="5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4"/>
      <c r="T1555" s="4"/>
      <c r="U1555" s="4"/>
      <c r="V1555" s="4"/>
      <c r="W1555" s="4"/>
      <c r="X1555" s="4"/>
      <c r="Y1555" s="4"/>
      <c r="Z1555" s="4"/>
      <c r="AA1555" s="4"/>
      <c r="AB1555" s="4"/>
      <c r="AC1555" s="4"/>
      <c r="AD1555" s="4"/>
      <c r="AE1555" s="4"/>
      <c r="AF1555" s="4"/>
      <c r="AG1555" s="4"/>
      <c r="AH1555" s="4"/>
      <c r="AI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</row>
    <row r="1556" spans="4:48" x14ac:dyDescent="0.3">
      <c r="D1556" s="5"/>
      <c r="E1556" s="5"/>
      <c r="F1556" s="20"/>
      <c r="G1556" s="20"/>
      <c r="H1556" s="5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4"/>
      <c r="T1556" s="4"/>
      <c r="U1556" s="4"/>
      <c r="V1556" s="4"/>
      <c r="W1556" s="4"/>
      <c r="X1556" s="4"/>
      <c r="Y1556" s="4"/>
      <c r="Z1556" s="4"/>
      <c r="AA1556" s="4"/>
      <c r="AB1556" s="4"/>
      <c r="AC1556" s="4"/>
      <c r="AD1556" s="4"/>
      <c r="AE1556" s="4"/>
      <c r="AF1556" s="4"/>
      <c r="AG1556" s="4"/>
      <c r="AH1556" s="4"/>
      <c r="AI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</row>
    <row r="1557" spans="4:48" x14ac:dyDescent="0.3">
      <c r="D1557" s="5"/>
      <c r="E1557" s="5"/>
      <c r="F1557" s="20"/>
      <c r="G1557" s="20"/>
      <c r="H1557" s="5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4"/>
      <c r="T1557" s="4"/>
      <c r="U1557" s="4"/>
      <c r="V1557" s="4"/>
      <c r="W1557" s="4"/>
      <c r="X1557" s="4"/>
      <c r="Y1557" s="4"/>
      <c r="Z1557" s="4"/>
      <c r="AA1557" s="4"/>
      <c r="AB1557" s="4"/>
      <c r="AC1557" s="4"/>
      <c r="AD1557" s="4"/>
      <c r="AE1557" s="4"/>
      <c r="AF1557" s="4"/>
      <c r="AG1557" s="4"/>
      <c r="AH1557" s="4"/>
      <c r="AI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</row>
    <row r="1558" spans="4:48" x14ac:dyDescent="0.3">
      <c r="D1558" s="5"/>
      <c r="E1558" s="5"/>
      <c r="F1558" s="20"/>
      <c r="G1558" s="20"/>
      <c r="H1558" s="5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4"/>
      <c r="T1558" s="4"/>
      <c r="U1558" s="4"/>
      <c r="V1558" s="4"/>
      <c r="W1558" s="4"/>
      <c r="X1558" s="4"/>
      <c r="Y1558" s="4"/>
      <c r="Z1558" s="4"/>
      <c r="AA1558" s="4"/>
      <c r="AB1558" s="4"/>
      <c r="AC1558" s="4"/>
      <c r="AD1558" s="4"/>
      <c r="AE1558" s="4"/>
      <c r="AF1558" s="4"/>
      <c r="AG1558" s="4"/>
      <c r="AH1558" s="4"/>
      <c r="AI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</row>
    <row r="1559" spans="4:48" x14ac:dyDescent="0.3">
      <c r="D1559" s="5"/>
      <c r="E1559" s="5"/>
      <c r="F1559" s="20"/>
      <c r="G1559" s="20"/>
      <c r="H1559" s="5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4"/>
      <c r="T1559" s="4"/>
      <c r="U1559" s="4"/>
      <c r="V1559" s="4"/>
      <c r="W1559" s="4"/>
      <c r="X1559" s="4"/>
      <c r="Y1559" s="4"/>
      <c r="Z1559" s="4"/>
      <c r="AA1559" s="4"/>
      <c r="AB1559" s="4"/>
      <c r="AC1559" s="4"/>
      <c r="AD1559" s="4"/>
      <c r="AE1559" s="4"/>
      <c r="AF1559" s="4"/>
      <c r="AG1559" s="4"/>
      <c r="AH1559" s="4"/>
      <c r="AI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</row>
    <row r="1560" spans="4:48" x14ac:dyDescent="0.3">
      <c r="D1560" s="5"/>
      <c r="E1560" s="5"/>
      <c r="F1560" s="20"/>
      <c r="G1560" s="20"/>
      <c r="H1560" s="5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4"/>
      <c r="T1560" s="4"/>
      <c r="U1560" s="4"/>
      <c r="V1560" s="4"/>
      <c r="W1560" s="4"/>
      <c r="X1560" s="4"/>
      <c r="Y1560" s="4"/>
      <c r="Z1560" s="4"/>
      <c r="AA1560" s="4"/>
      <c r="AB1560" s="4"/>
      <c r="AC1560" s="4"/>
      <c r="AD1560" s="4"/>
      <c r="AE1560" s="4"/>
      <c r="AF1560" s="4"/>
      <c r="AG1560" s="4"/>
      <c r="AH1560" s="4"/>
      <c r="AI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</row>
    <row r="1561" spans="4:48" x14ac:dyDescent="0.3">
      <c r="D1561" s="5"/>
      <c r="E1561" s="5"/>
      <c r="F1561" s="20"/>
      <c r="G1561" s="20"/>
      <c r="H1561" s="5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4"/>
      <c r="T1561" s="4"/>
      <c r="U1561" s="4"/>
      <c r="V1561" s="4"/>
      <c r="W1561" s="4"/>
      <c r="X1561" s="4"/>
      <c r="Y1561" s="4"/>
      <c r="Z1561" s="4"/>
      <c r="AA1561" s="4"/>
      <c r="AB1561" s="4"/>
      <c r="AC1561" s="4"/>
      <c r="AD1561" s="4"/>
      <c r="AE1561" s="4"/>
      <c r="AF1561" s="4"/>
      <c r="AG1561" s="4"/>
      <c r="AH1561" s="4"/>
      <c r="AI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</row>
    <row r="1562" spans="4:48" x14ac:dyDescent="0.3">
      <c r="D1562" s="5"/>
      <c r="E1562" s="5"/>
      <c r="F1562" s="20"/>
      <c r="G1562" s="20"/>
      <c r="H1562" s="5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4"/>
      <c r="T1562" s="4"/>
      <c r="U1562" s="4"/>
      <c r="V1562" s="4"/>
      <c r="W1562" s="4"/>
      <c r="X1562" s="4"/>
      <c r="Y1562" s="4"/>
      <c r="Z1562" s="4"/>
      <c r="AA1562" s="4"/>
      <c r="AB1562" s="4"/>
      <c r="AC1562" s="4"/>
      <c r="AD1562" s="4"/>
      <c r="AE1562" s="4"/>
      <c r="AF1562" s="4"/>
      <c r="AG1562" s="4"/>
      <c r="AH1562" s="4"/>
      <c r="AI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</row>
    <row r="1563" spans="4:48" x14ac:dyDescent="0.3">
      <c r="D1563" s="5"/>
      <c r="E1563" s="5"/>
      <c r="F1563" s="20"/>
      <c r="G1563" s="20"/>
      <c r="H1563" s="5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4"/>
      <c r="T1563" s="4"/>
      <c r="U1563" s="4"/>
      <c r="V1563" s="4"/>
      <c r="W1563" s="4"/>
      <c r="X1563" s="4"/>
      <c r="Y1563" s="4"/>
      <c r="Z1563" s="4"/>
      <c r="AA1563" s="4"/>
      <c r="AB1563" s="4"/>
      <c r="AC1563" s="4"/>
      <c r="AD1563" s="4"/>
      <c r="AE1563" s="4"/>
      <c r="AF1563" s="4"/>
      <c r="AG1563" s="4"/>
      <c r="AH1563" s="4"/>
      <c r="AI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</row>
    <row r="1564" spans="4:48" x14ac:dyDescent="0.3">
      <c r="D1564" s="5"/>
      <c r="E1564" s="5"/>
      <c r="F1564" s="20"/>
      <c r="G1564" s="20"/>
      <c r="H1564" s="5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4"/>
      <c r="T1564" s="4"/>
      <c r="U1564" s="4"/>
      <c r="V1564" s="4"/>
      <c r="W1564" s="4"/>
      <c r="X1564" s="4"/>
      <c r="Y1564" s="4"/>
      <c r="Z1564" s="4"/>
      <c r="AA1564" s="4"/>
      <c r="AB1564" s="4"/>
      <c r="AC1564" s="4"/>
      <c r="AD1564" s="4"/>
      <c r="AE1564" s="4"/>
      <c r="AF1564" s="4"/>
      <c r="AG1564" s="4"/>
      <c r="AH1564" s="4"/>
      <c r="AI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</row>
    <row r="1565" spans="4:48" x14ac:dyDescent="0.3">
      <c r="D1565" s="5"/>
      <c r="E1565" s="5"/>
      <c r="F1565" s="20"/>
      <c r="G1565" s="20"/>
      <c r="H1565" s="5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4"/>
      <c r="T1565" s="4"/>
      <c r="U1565" s="4"/>
      <c r="V1565" s="4"/>
      <c r="W1565" s="4"/>
      <c r="X1565" s="4"/>
      <c r="Y1565" s="4"/>
      <c r="Z1565" s="4"/>
      <c r="AA1565" s="4"/>
      <c r="AB1565" s="4"/>
      <c r="AC1565" s="4"/>
      <c r="AD1565" s="4"/>
      <c r="AE1565" s="4"/>
      <c r="AF1565" s="4"/>
      <c r="AG1565" s="4"/>
      <c r="AH1565" s="4"/>
      <c r="AI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</row>
    <row r="1566" spans="4:48" x14ac:dyDescent="0.3">
      <c r="D1566" s="5"/>
      <c r="E1566" s="5"/>
      <c r="F1566" s="20"/>
      <c r="G1566" s="20"/>
      <c r="H1566" s="5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4"/>
      <c r="T1566" s="4"/>
      <c r="U1566" s="4"/>
      <c r="V1566" s="4"/>
      <c r="W1566" s="4"/>
      <c r="X1566" s="4"/>
      <c r="Y1566" s="4"/>
      <c r="Z1566" s="4"/>
      <c r="AA1566" s="4"/>
      <c r="AB1566" s="4"/>
      <c r="AC1566" s="4"/>
      <c r="AD1566" s="4"/>
      <c r="AE1566" s="4"/>
      <c r="AF1566" s="4"/>
      <c r="AG1566" s="4"/>
      <c r="AH1566" s="4"/>
      <c r="AI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</row>
    <row r="1567" spans="4:48" x14ac:dyDescent="0.3">
      <c r="D1567" s="5"/>
      <c r="E1567" s="5"/>
      <c r="F1567" s="20"/>
      <c r="G1567" s="20"/>
      <c r="H1567" s="5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4"/>
      <c r="T1567" s="4"/>
      <c r="U1567" s="4"/>
      <c r="V1567" s="4"/>
      <c r="W1567" s="4"/>
      <c r="X1567" s="4"/>
      <c r="Y1567" s="4"/>
      <c r="Z1567" s="4"/>
      <c r="AA1567" s="4"/>
      <c r="AB1567" s="4"/>
      <c r="AC1567" s="4"/>
      <c r="AD1567" s="4"/>
      <c r="AE1567" s="4"/>
      <c r="AF1567" s="4"/>
      <c r="AG1567" s="4"/>
      <c r="AH1567" s="4"/>
      <c r="AI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</row>
    <row r="1568" spans="4:48" x14ac:dyDescent="0.3">
      <c r="D1568" s="5"/>
      <c r="E1568" s="5"/>
      <c r="F1568" s="20"/>
      <c r="G1568" s="20"/>
      <c r="H1568" s="5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4"/>
      <c r="T1568" s="4"/>
      <c r="U1568" s="4"/>
      <c r="V1568" s="4"/>
      <c r="W1568" s="4"/>
      <c r="X1568" s="4"/>
      <c r="Y1568" s="4"/>
      <c r="Z1568" s="4"/>
      <c r="AA1568" s="4"/>
      <c r="AB1568" s="4"/>
      <c r="AC1568" s="4"/>
      <c r="AD1568" s="4"/>
      <c r="AE1568" s="4"/>
      <c r="AF1568" s="4"/>
      <c r="AG1568" s="4"/>
      <c r="AH1568" s="4"/>
      <c r="AI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</row>
    <row r="1569" spans="4:48" x14ac:dyDescent="0.3">
      <c r="D1569" s="5"/>
      <c r="E1569" s="5"/>
      <c r="F1569" s="20"/>
      <c r="G1569" s="20"/>
      <c r="H1569" s="5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4"/>
      <c r="T1569" s="4"/>
      <c r="U1569" s="4"/>
      <c r="V1569" s="4"/>
      <c r="W1569" s="4"/>
      <c r="X1569" s="4"/>
      <c r="Y1569" s="4"/>
      <c r="Z1569" s="4"/>
      <c r="AA1569" s="4"/>
      <c r="AB1569" s="4"/>
      <c r="AC1569" s="4"/>
      <c r="AD1569" s="4"/>
      <c r="AE1569" s="4"/>
      <c r="AF1569" s="4"/>
      <c r="AG1569" s="4"/>
      <c r="AH1569" s="4"/>
      <c r="AI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</row>
    <row r="1570" spans="4:48" x14ac:dyDescent="0.3">
      <c r="D1570" s="5"/>
      <c r="E1570" s="5"/>
      <c r="F1570" s="20"/>
      <c r="G1570" s="20"/>
      <c r="H1570" s="5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4"/>
      <c r="T1570" s="4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4"/>
      <c r="AF1570" s="4"/>
      <c r="AG1570" s="4"/>
      <c r="AH1570" s="4"/>
      <c r="AI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</row>
    <row r="1571" spans="4:48" x14ac:dyDescent="0.3">
      <c r="D1571" s="5"/>
      <c r="E1571" s="5"/>
      <c r="F1571" s="20"/>
      <c r="G1571" s="20"/>
      <c r="H1571" s="5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4"/>
      <c r="T1571" s="4"/>
      <c r="U1571" s="4"/>
      <c r="V1571" s="4"/>
      <c r="W1571" s="4"/>
      <c r="X1571" s="4"/>
      <c r="Y1571" s="4"/>
      <c r="Z1571" s="4"/>
      <c r="AA1571" s="4"/>
      <c r="AB1571" s="4"/>
      <c r="AC1571" s="4"/>
      <c r="AD1571" s="4"/>
      <c r="AE1571" s="4"/>
      <c r="AF1571" s="4"/>
      <c r="AG1571" s="4"/>
      <c r="AH1571" s="4"/>
      <c r="AI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</row>
    <row r="1572" spans="4:48" x14ac:dyDescent="0.3">
      <c r="D1572" s="5"/>
      <c r="E1572" s="5"/>
      <c r="F1572" s="20"/>
      <c r="G1572" s="20"/>
      <c r="H1572" s="5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4"/>
      <c r="T1572" s="4"/>
      <c r="U1572" s="4"/>
      <c r="V1572" s="4"/>
      <c r="W1572" s="4"/>
      <c r="X1572" s="4"/>
      <c r="Y1572" s="4"/>
      <c r="Z1572" s="4"/>
      <c r="AA1572" s="4"/>
      <c r="AB1572" s="4"/>
      <c r="AC1572" s="4"/>
      <c r="AD1572" s="4"/>
      <c r="AE1572" s="4"/>
      <c r="AF1572" s="4"/>
      <c r="AG1572" s="4"/>
      <c r="AH1572" s="4"/>
      <c r="AI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</row>
    <row r="1573" spans="4:48" x14ac:dyDescent="0.3">
      <c r="D1573" s="5"/>
      <c r="E1573" s="5"/>
      <c r="F1573" s="20"/>
      <c r="G1573" s="20"/>
      <c r="H1573" s="5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4"/>
      <c r="T1573" s="4"/>
      <c r="U1573" s="4"/>
      <c r="V1573" s="4"/>
      <c r="W1573" s="4"/>
      <c r="X1573" s="4"/>
      <c r="Y1573" s="4"/>
      <c r="Z1573" s="4"/>
      <c r="AA1573" s="4"/>
      <c r="AB1573" s="4"/>
      <c r="AC1573" s="4"/>
      <c r="AD1573" s="4"/>
      <c r="AE1573" s="4"/>
      <c r="AF1573" s="4"/>
      <c r="AG1573" s="4"/>
      <c r="AH1573" s="4"/>
      <c r="AI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</row>
    <row r="1574" spans="4:48" x14ac:dyDescent="0.3">
      <c r="D1574" s="5"/>
      <c r="E1574" s="5"/>
      <c r="F1574" s="20"/>
      <c r="G1574" s="20"/>
      <c r="H1574" s="5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4"/>
      <c r="T1574" s="4"/>
      <c r="U1574" s="4"/>
      <c r="V1574" s="4"/>
      <c r="W1574" s="4"/>
      <c r="X1574" s="4"/>
      <c r="Y1574" s="4"/>
      <c r="Z1574" s="4"/>
      <c r="AA1574" s="4"/>
      <c r="AB1574" s="4"/>
      <c r="AC1574" s="4"/>
      <c r="AD1574" s="4"/>
      <c r="AE1574" s="4"/>
      <c r="AF1574" s="4"/>
      <c r="AG1574" s="4"/>
      <c r="AH1574" s="4"/>
      <c r="AI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</row>
    <row r="1575" spans="4:48" x14ac:dyDescent="0.3">
      <c r="D1575" s="5"/>
      <c r="E1575" s="5"/>
      <c r="F1575" s="20"/>
      <c r="G1575" s="20"/>
      <c r="H1575" s="5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4"/>
      <c r="T1575" s="4"/>
      <c r="U1575" s="4"/>
      <c r="V1575" s="4"/>
      <c r="W1575" s="4"/>
      <c r="X1575" s="4"/>
      <c r="Y1575" s="4"/>
      <c r="Z1575" s="4"/>
      <c r="AA1575" s="4"/>
      <c r="AB1575" s="4"/>
      <c r="AC1575" s="4"/>
      <c r="AD1575" s="4"/>
      <c r="AE1575" s="4"/>
      <c r="AF1575" s="4"/>
      <c r="AG1575" s="4"/>
      <c r="AH1575" s="4"/>
      <c r="AI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</row>
    <row r="1576" spans="4:48" x14ac:dyDescent="0.3">
      <c r="D1576" s="5"/>
      <c r="E1576" s="5"/>
      <c r="F1576" s="20"/>
      <c r="G1576" s="20"/>
      <c r="H1576" s="5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4"/>
      <c r="T1576" s="4"/>
      <c r="U1576" s="4"/>
      <c r="V1576" s="4"/>
      <c r="W1576" s="4"/>
      <c r="X1576" s="4"/>
      <c r="Y1576" s="4"/>
      <c r="Z1576" s="4"/>
      <c r="AA1576" s="4"/>
      <c r="AB1576" s="4"/>
      <c r="AC1576" s="4"/>
      <c r="AD1576" s="4"/>
      <c r="AE1576" s="4"/>
      <c r="AF1576" s="4"/>
      <c r="AG1576" s="4"/>
      <c r="AH1576" s="4"/>
      <c r="AI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</row>
    <row r="1577" spans="4:48" x14ac:dyDescent="0.3">
      <c r="D1577" s="5"/>
      <c r="E1577" s="5"/>
      <c r="F1577" s="20"/>
      <c r="G1577" s="20"/>
      <c r="H1577" s="5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4"/>
      <c r="T1577" s="4"/>
      <c r="U1577" s="4"/>
      <c r="V1577" s="4"/>
      <c r="W1577" s="4"/>
      <c r="X1577" s="4"/>
      <c r="Y1577" s="4"/>
      <c r="Z1577" s="4"/>
      <c r="AA1577" s="4"/>
      <c r="AB1577" s="4"/>
      <c r="AC1577" s="4"/>
      <c r="AD1577" s="4"/>
      <c r="AE1577" s="4"/>
      <c r="AF1577" s="4"/>
      <c r="AG1577" s="4"/>
      <c r="AH1577" s="4"/>
      <c r="AI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</row>
    <row r="1578" spans="4:48" x14ac:dyDescent="0.3">
      <c r="D1578" s="5"/>
      <c r="E1578" s="5"/>
      <c r="F1578" s="20"/>
      <c r="G1578" s="20"/>
      <c r="H1578" s="5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4"/>
      <c r="T1578" s="4"/>
      <c r="U1578" s="4"/>
      <c r="V1578" s="4"/>
      <c r="W1578" s="4"/>
      <c r="X1578" s="4"/>
      <c r="Y1578" s="4"/>
      <c r="Z1578" s="4"/>
      <c r="AA1578" s="4"/>
      <c r="AB1578" s="4"/>
      <c r="AC1578" s="4"/>
      <c r="AD1578" s="4"/>
      <c r="AE1578" s="4"/>
      <c r="AF1578" s="4"/>
      <c r="AG1578" s="4"/>
      <c r="AH1578" s="4"/>
      <c r="AI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</row>
    <row r="1579" spans="4:48" x14ac:dyDescent="0.3">
      <c r="D1579" s="5"/>
      <c r="E1579" s="5"/>
      <c r="F1579" s="20"/>
      <c r="G1579" s="20"/>
      <c r="H1579" s="5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4"/>
      <c r="T1579" s="4"/>
      <c r="U1579" s="4"/>
      <c r="V1579" s="4"/>
      <c r="W1579" s="4"/>
      <c r="X1579" s="4"/>
      <c r="Y1579" s="4"/>
      <c r="Z1579" s="4"/>
      <c r="AA1579" s="4"/>
      <c r="AB1579" s="4"/>
      <c r="AC1579" s="4"/>
      <c r="AD1579" s="4"/>
      <c r="AE1579" s="4"/>
      <c r="AF1579" s="4"/>
      <c r="AG1579" s="4"/>
      <c r="AH1579" s="4"/>
      <c r="AI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</row>
    <row r="1580" spans="4:48" x14ac:dyDescent="0.3">
      <c r="D1580" s="5"/>
      <c r="E1580" s="5"/>
      <c r="F1580" s="20"/>
      <c r="G1580" s="20"/>
      <c r="H1580" s="5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4"/>
      <c r="T1580" s="4"/>
      <c r="U1580" s="4"/>
      <c r="V1580" s="4"/>
      <c r="W1580" s="4"/>
      <c r="X1580" s="4"/>
      <c r="Y1580" s="4"/>
      <c r="Z1580" s="4"/>
      <c r="AA1580" s="4"/>
      <c r="AB1580" s="4"/>
      <c r="AC1580" s="4"/>
      <c r="AD1580" s="4"/>
      <c r="AE1580" s="4"/>
      <c r="AF1580" s="4"/>
      <c r="AG1580" s="4"/>
      <c r="AH1580" s="4"/>
      <c r="AI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</row>
    <row r="1581" spans="4:48" x14ac:dyDescent="0.3">
      <c r="D1581" s="5"/>
      <c r="E1581" s="5"/>
      <c r="F1581" s="20"/>
      <c r="G1581" s="20"/>
      <c r="H1581" s="5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4"/>
      <c r="T1581" s="4"/>
      <c r="U1581" s="4"/>
      <c r="V1581" s="4"/>
      <c r="W1581" s="4"/>
      <c r="X1581" s="4"/>
      <c r="Y1581" s="4"/>
      <c r="Z1581" s="4"/>
      <c r="AA1581" s="4"/>
      <c r="AB1581" s="4"/>
      <c r="AC1581" s="4"/>
      <c r="AD1581" s="4"/>
      <c r="AE1581" s="4"/>
      <c r="AF1581" s="4"/>
      <c r="AG1581" s="4"/>
      <c r="AH1581" s="4"/>
      <c r="AI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</row>
    <row r="1582" spans="4:48" x14ac:dyDescent="0.3">
      <c r="D1582" s="5"/>
      <c r="E1582" s="5"/>
      <c r="F1582" s="20"/>
      <c r="G1582" s="20"/>
      <c r="H1582" s="5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4"/>
      <c r="T1582" s="4"/>
      <c r="U1582" s="4"/>
      <c r="V1582" s="4"/>
      <c r="W1582" s="4"/>
      <c r="X1582" s="4"/>
      <c r="Y1582" s="4"/>
      <c r="Z1582" s="4"/>
      <c r="AA1582" s="4"/>
      <c r="AB1582" s="4"/>
      <c r="AC1582" s="4"/>
      <c r="AD1582" s="4"/>
      <c r="AE1582" s="4"/>
      <c r="AF1582" s="4"/>
      <c r="AG1582" s="4"/>
      <c r="AH1582" s="4"/>
      <c r="AI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</row>
    <row r="1583" spans="4:48" x14ac:dyDescent="0.3">
      <c r="D1583" s="5"/>
      <c r="E1583" s="5"/>
      <c r="F1583" s="20"/>
      <c r="G1583" s="20"/>
      <c r="H1583" s="5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4"/>
      <c r="T1583" s="4"/>
      <c r="U1583" s="4"/>
      <c r="V1583" s="4"/>
      <c r="W1583" s="4"/>
      <c r="X1583" s="4"/>
      <c r="Y1583" s="4"/>
      <c r="Z1583" s="4"/>
      <c r="AA1583" s="4"/>
      <c r="AB1583" s="4"/>
      <c r="AC1583" s="4"/>
      <c r="AD1583" s="4"/>
      <c r="AE1583" s="4"/>
      <c r="AF1583" s="4"/>
      <c r="AG1583" s="4"/>
      <c r="AH1583" s="4"/>
      <c r="AI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</row>
    <row r="1584" spans="4:48" x14ac:dyDescent="0.3">
      <c r="D1584" s="5"/>
      <c r="E1584" s="5"/>
      <c r="F1584" s="20"/>
      <c r="G1584" s="20"/>
      <c r="H1584" s="5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4"/>
      <c r="T1584" s="4"/>
      <c r="U1584" s="4"/>
      <c r="V1584" s="4"/>
      <c r="W1584" s="4"/>
      <c r="X1584" s="4"/>
      <c r="Y1584" s="4"/>
      <c r="Z1584" s="4"/>
      <c r="AA1584" s="4"/>
      <c r="AB1584" s="4"/>
      <c r="AC1584" s="4"/>
      <c r="AD1584" s="4"/>
      <c r="AE1584" s="4"/>
      <c r="AF1584" s="4"/>
      <c r="AG1584" s="4"/>
      <c r="AH1584" s="4"/>
      <c r="AI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</row>
    <row r="1585" spans="4:48" x14ac:dyDescent="0.3">
      <c r="D1585" s="5"/>
      <c r="E1585" s="5"/>
      <c r="F1585" s="20"/>
      <c r="G1585" s="20"/>
      <c r="H1585" s="5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4"/>
      <c r="T1585" s="4"/>
      <c r="U1585" s="4"/>
      <c r="V1585" s="4"/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  <c r="AG1585" s="4"/>
      <c r="AH1585" s="4"/>
      <c r="AI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</row>
    <row r="1586" spans="4:48" x14ac:dyDescent="0.3">
      <c r="D1586" s="5"/>
      <c r="E1586" s="5"/>
      <c r="F1586" s="20"/>
      <c r="G1586" s="20"/>
      <c r="H1586" s="5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4"/>
      <c r="T1586" s="4"/>
      <c r="U1586" s="4"/>
      <c r="V1586" s="4"/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  <c r="AG1586" s="4"/>
      <c r="AH1586" s="4"/>
      <c r="AI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</row>
    <row r="1587" spans="4:48" x14ac:dyDescent="0.3">
      <c r="D1587" s="5"/>
      <c r="E1587" s="5"/>
      <c r="F1587" s="20"/>
      <c r="G1587" s="20"/>
      <c r="H1587" s="5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4"/>
      <c r="T1587" s="4"/>
      <c r="U1587" s="4"/>
      <c r="V1587" s="4"/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  <c r="AG1587" s="4"/>
      <c r="AH1587" s="4"/>
      <c r="AI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</row>
    <row r="1588" spans="4:48" x14ac:dyDescent="0.3">
      <c r="D1588" s="5"/>
      <c r="E1588" s="5"/>
      <c r="F1588" s="20"/>
      <c r="G1588" s="20"/>
      <c r="H1588" s="5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4"/>
      <c r="T1588" s="4"/>
      <c r="U1588" s="4"/>
      <c r="V1588" s="4"/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  <c r="AG1588" s="4"/>
      <c r="AH1588" s="4"/>
      <c r="AI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</row>
    <row r="1589" spans="4:48" x14ac:dyDescent="0.3">
      <c r="D1589" s="5"/>
      <c r="E1589" s="5"/>
      <c r="F1589" s="20"/>
      <c r="G1589" s="20"/>
      <c r="H1589" s="5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4"/>
      <c r="T1589" s="4"/>
      <c r="U1589" s="4"/>
      <c r="V1589" s="4"/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  <c r="AG1589" s="4"/>
      <c r="AH1589" s="4"/>
      <c r="AI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</row>
    <row r="1590" spans="4:48" x14ac:dyDescent="0.3">
      <c r="D1590" s="5"/>
      <c r="E1590" s="5"/>
      <c r="F1590" s="20"/>
      <c r="G1590" s="20"/>
      <c r="H1590" s="5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4"/>
      <c r="T1590" s="4"/>
      <c r="U1590" s="4"/>
      <c r="V1590" s="4"/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  <c r="AG1590" s="4"/>
      <c r="AH1590" s="4"/>
      <c r="AI1590" s="4"/>
      <c r="AJ1590" s="4"/>
      <c r="AK1590" s="4"/>
      <c r="AL1590" s="4"/>
      <c r="AM1590" s="4"/>
      <c r="AN1590" s="4"/>
      <c r="AO1590" s="4"/>
      <c r="AP1590" s="4"/>
      <c r="AQ1590" s="4"/>
      <c r="AR1590" s="4"/>
      <c r="AS1590" s="4"/>
      <c r="AT1590" s="4"/>
      <c r="AU1590" s="4"/>
      <c r="AV1590" s="4"/>
    </row>
    <row r="1591" spans="4:48" x14ac:dyDescent="0.3">
      <c r="D1591" s="5"/>
      <c r="E1591" s="5"/>
      <c r="F1591" s="20"/>
      <c r="G1591" s="20"/>
      <c r="H1591" s="5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4"/>
      <c r="T1591" s="4"/>
      <c r="U1591" s="4"/>
      <c r="V1591" s="4"/>
      <c r="W1591" s="4"/>
      <c r="X1591" s="4"/>
      <c r="Y1591" s="4"/>
      <c r="Z1591" s="4"/>
      <c r="AA1591" s="4"/>
      <c r="AB1591" s="4"/>
      <c r="AC1591" s="4"/>
      <c r="AD1591" s="4"/>
      <c r="AE1591" s="4"/>
      <c r="AF1591" s="4"/>
      <c r="AG1591" s="4"/>
      <c r="AH1591" s="4"/>
      <c r="AI1591" s="4"/>
      <c r="AJ1591" s="4"/>
      <c r="AK1591" s="4"/>
      <c r="AL1591" s="4"/>
      <c r="AM1591" s="4"/>
      <c r="AN1591" s="4"/>
      <c r="AO1591" s="4"/>
      <c r="AP1591" s="4"/>
      <c r="AQ1591" s="4"/>
      <c r="AR1591" s="4"/>
      <c r="AS1591" s="4"/>
      <c r="AT1591" s="4"/>
      <c r="AU1591" s="4"/>
      <c r="AV1591" s="4"/>
    </row>
    <row r="1592" spans="4:48" x14ac:dyDescent="0.3">
      <c r="D1592" s="5"/>
      <c r="E1592" s="5"/>
      <c r="F1592" s="20"/>
      <c r="G1592" s="20"/>
      <c r="H1592" s="5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4"/>
      <c r="T1592" s="4"/>
      <c r="U1592" s="4"/>
      <c r="V1592" s="4"/>
      <c r="W1592" s="4"/>
      <c r="X1592" s="4"/>
      <c r="Y1592" s="4"/>
      <c r="Z1592" s="4"/>
      <c r="AA1592" s="4"/>
      <c r="AB1592" s="4"/>
      <c r="AC1592" s="4"/>
      <c r="AD1592" s="4"/>
      <c r="AE1592" s="4"/>
      <c r="AF1592" s="4"/>
      <c r="AG1592" s="4"/>
      <c r="AH1592" s="4"/>
      <c r="AI1592" s="4"/>
      <c r="AJ1592" s="4"/>
      <c r="AK1592" s="4"/>
      <c r="AL1592" s="4"/>
      <c r="AM1592" s="4"/>
      <c r="AN1592" s="4"/>
      <c r="AO1592" s="4"/>
      <c r="AP1592" s="4"/>
      <c r="AQ1592" s="4"/>
      <c r="AR1592" s="4"/>
      <c r="AS1592" s="4"/>
      <c r="AT1592" s="4"/>
      <c r="AU1592" s="4"/>
      <c r="AV1592" s="4"/>
    </row>
    <row r="1593" spans="4:48" x14ac:dyDescent="0.3">
      <c r="D1593" s="5"/>
      <c r="E1593" s="5"/>
      <c r="F1593" s="20"/>
      <c r="G1593" s="20"/>
      <c r="H1593" s="5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4"/>
      <c r="T1593" s="4"/>
      <c r="U1593" s="4"/>
      <c r="V1593" s="4"/>
      <c r="W1593" s="4"/>
      <c r="X1593" s="4"/>
      <c r="Y1593" s="4"/>
      <c r="Z1593" s="4"/>
      <c r="AA1593" s="4"/>
      <c r="AB1593" s="4"/>
      <c r="AC1593" s="4"/>
      <c r="AD1593" s="4"/>
      <c r="AE1593" s="4"/>
      <c r="AF1593" s="4"/>
      <c r="AG1593" s="4"/>
      <c r="AH1593" s="4"/>
      <c r="AI1593" s="4"/>
      <c r="AJ1593" s="4"/>
      <c r="AK1593" s="4"/>
      <c r="AL1593" s="4"/>
      <c r="AM1593" s="4"/>
      <c r="AN1593" s="4"/>
      <c r="AO1593" s="4"/>
      <c r="AP1593" s="4"/>
      <c r="AQ1593" s="4"/>
      <c r="AR1593" s="4"/>
      <c r="AS1593" s="4"/>
      <c r="AT1593" s="4"/>
      <c r="AU1593" s="4"/>
      <c r="AV1593" s="4"/>
    </row>
    <row r="1594" spans="4:48" x14ac:dyDescent="0.3">
      <c r="D1594" s="5"/>
      <c r="E1594" s="5"/>
      <c r="F1594" s="20"/>
      <c r="G1594" s="20"/>
      <c r="H1594" s="5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4"/>
      <c r="T1594" s="4"/>
      <c r="U1594" s="4"/>
      <c r="V1594" s="4"/>
      <c r="W1594" s="4"/>
      <c r="X1594" s="4"/>
      <c r="Y1594" s="4"/>
      <c r="Z1594" s="4"/>
      <c r="AA1594" s="4"/>
      <c r="AB1594" s="4"/>
      <c r="AC1594" s="4"/>
      <c r="AD1594" s="4"/>
      <c r="AE1594" s="4"/>
      <c r="AF1594" s="4"/>
      <c r="AG1594" s="4"/>
      <c r="AH1594" s="4"/>
      <c r="AI1594" s="4"/>
      <c r="AJ1594" s="4"/>
      <c r="AK1594" s="4"/>
      <c r="AL1594" s="4"/>
      <c r="AM1594" s="4"/>
      <c r="AN1594" s="4"/>
      <c r="AO1594" s="4"/>
      <c r="AP1594" s="4"/>
      <c r="AQ1594" s="4"/>
      <c r="AR1594" s="4"/>
      <c r="AS1594" s="4"/>
      <c r="AT1594" s="4"/>
      <c r="AU1594" s="4"/>
      <c r="AV1594" s="4"/>
    </row>
    <row r="1595" spans="4:48" x14ac:dyDescent="0.3">
      <c r="D1595" s="5"/>
      <c r="E1595" s="5"/>
      <c r="F1595" s="20"/>
      <c r="G1595" s="20"/>
      <c r="H1595" s="5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4"/>
      <c r="T1595" s="4"/>
      <c r="U1595" s="4"/>
      <c r="V1595" s="4"/>
      <c r="W1595" s="4"/>
      <c r="X1595" s="4"/>
      <c r="Y1595" s="4"/>
      <c r="Z1595" s="4"/>
      <c r="AA1595" s="4"/>
      <c r="AB1595" s="4"/>
      <c r="AC1595" s="4"/>
      <c r="AD1595" s="4"/>
      <c r="AE1595" s="4"/>
      <c r="AF1595" s="4"/>
      <c r="AG1595" s="4"/>
      <c r="AH1595" s="4"/>
      <c r="AI1595" s="4"/>
      <c r="AJ1595" s="4"/>
      <c r="AK1595" s="4"/>
      <c r="AL1595" s="4"/>
      <c r="AM1595" s="4"/>
      <c r="AN1595" s="4"/>
      <c r="AO1595" s="4"/>
      <c r="AP1595" s="4"/>
      <c r="AQ1595" s="4"/>
      <c r="AR1595" s="4"/>
      <c r="AS1595" s="4"/>
      <c r="AT1595" s="4"/>
      <c r="AU1595" s="4"/>
      <c r="AV1595" s="4"/>
    </row>
    <row r="1596" spans="4:48" x14ac:dyDescent="0.3">
      <c r="D1596" s="5"/>
      <c r="E1596" s="5"/>
      <c r="F1596" s="20"/>
      <c r="G1596" s="20"/>
      <c r="H1596" s="5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4"/>
      <c r="T1596" s="4"/>
      <c r="U1596" s="4"/>
      <c r="V1596" s="4"/>
      <c r="W1596" s="4"/>
      <c r="X1596" s="4"/>
      <c r="Y1596" s="4"/>
      <c r="Z1596" s="4"/>
      <c r="AA1596" s="4"/>
      <c r="AB1596" s="4"/>
      <c r="AC1596" s="4"/>
      <c r="AD1596" s="4"/>
      <c r="AE1596" s="4"/>
      <c r="AF1596" s="4"/>
      <c r="AG1596" s="4"/>
      <c r="AH1596" s="4"/>
      <c r="AI1596" s="4"/>
      <c r="AJ1596" s="4"/>
      <c r="AK1596" s="4"/>
      <c r="AL1596" s="4"/>
      <c r="AM1596" s="4"/>
      <c r="AN1596" s="4"/>
      <c r="AO1596" s="4"/>
      <c r="AP1596" s="4"/>
      <c r="AQ1596" s="4"/>
      <c r="AR1596" s="4"/>
      <c r="AS1596" s="4"/>
      <c r="AT1596" s="4"/>
      <c r="AU1596" s="4"/>
      <c r="AV1596" s="4"/>
    </row>
    <row r="1597" spans="4:48" x14ac:dyDescent="0.3">
      <c r="D1597" s="5"/>
      <c r="E1597" s="5"/>
      <c r="F1597" s="20"/>
      <c r="G1597" s="20"/>
      <c r="H1597" s="5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4"/>
      <c r="T1597" s="4"/>
      <c r="U1597" s="4"/>
      <c r="V1597" s="4"/>
      <c r="W1597" s="4"/>
      <c r="X1597" s="4"/>
      <c r="Y1597" s="4"/>
      <c r="Z1597" s="4"/>
      <c r="AA1597" s="4"/>
      <c r="AB1597" s="4"/>
      <c r="AC1597" s="4"/>
      <c r="AD1597" s="4"/>
      <c r="AE1597" s="4"/>
      <c r="AF1597" s="4"/>
      <c r="AG1597" s="4"/>
      <c r="AH1597" s="4"/>
      <c r="AI1597" s="4"/>
      <c r="AJ1597" s="4"/>
      <c r="AK1597" s="4"/>
      <c r="AL1597" s="4"/>
      <c r="AM1597" s="4"/>
      <c r="AN1597" s="4"/>
      <c r="AO1597" s="4"/>
      <c r="AP1597" s="4"/>
      <c r="AQ1597" s="4"/>
      <c r="AR1597" s="4"/>
      <c r="AS1597" s="4"/>
      <c r="AT1597" s="4"/>
      <c r="AU1597" s="4"/>
      <c r="AV1597" s="4"/>
    </row>
    <row r="1598" spans="4:48" x14ac:dyDescent="0.3">
      <c r="D1598" s="5"/>
      <c r="E1598" s="5"/>
      <c r="F1598" s="20"/>
      <c r="G1598" s="20"/>
      <c r="H1598" s="5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4"/>
      <c r="T1598" s="4"/>
      <c r="U1598" s="4"/>
      <c r="V1598" s="4"/>
      <c r="W1598" s="4"/>
      <c r="X1598" s="4"/>
      <c r="Y1598" s="4"/>
      <c r="Z1598" s="4"/>
      <c r="AA1598" s="4"/>
      <c r="AB1598" s="4"/>
      <c r="AC1598" s="4"/>
      <c r="AD1598" s="4"/>
      <c r="AE1598" s="4"/>
      <c r="AF1598" s="4"/>
      <c r="AG1598" s="4"/>
      <c r="AH1598" s="4"/>
      <c r="AI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</row>
    <row r="1599" spans="4:48" x14ac:dyDescent="0.3">
      <c r="D1599" s="5"/>
      <c r="E1599" s="5"/>
      <c r="F1599" s="20"/>
      <c r="G1599" s="20"/>
      <c r="H1599" s="5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4"/>
      <c r="T1599" s="4"/>
      <c r="U1599" s="4"/>
      <c r="V1599" s="4"/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  <c r="AG1599" s="4"/>
      <c r="AH1599" s="4"/>
      <c r="AI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</row>
    <row r="1600" spans="4:48" x14ac:dyDescent="0.3">
      <c r="D1600" s="5"/>
      <c r="E1600" s="5"/>
      <c r="F1600" s="20"/>
      <c r="G1600" s="20"/>
      <c r="H1600" s="5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4"/>
      <c r="T1600" s="4"/>
      <c r="U1600" s="4"/>
      <c r="V1600" s="4"/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  <c r="AG1600" s="4"/>
      <c r="AH1600" s="4"/>
      <c r="AI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</row>
    <row r="1601" spans="4:48" x14ac:dyDescent="0.3">
      <c r="D1601" s="5"/>
      <c r="E1601" s="5"/>
      <c r="F1601" s="20"/>
      <c r="G1601" s="20"/>
      <c r="H1601" s="5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4"/>
      <c r="T1601" s="4"/>
      <c r="U1601" s="4"/>
      <c r="V1601" s="4"/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  <c r="AG1601" s="4"/>
      <c r="AH1601" s="4"/>
      <c r="AI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</row>
    <row r="1602" spans="4:48" x14ac:dyDescent="0.3">
      <c r="D1602" s="5"/>
      <c r="E1602" s="5"/>
      <c r="F1602" s="20"/>
      <c r="G1602" s="20"/>
      <c r="H1602" s="5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4"/>
      <c r="T1602" s="4"/>
      <c r="U1602" s="4"/>
      <c r="V1602" s="4"/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  <c r="AG1602" s="4"/>
      <c r="AH1602" s="4"/>
      <c r="AI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</row>
    <row r="1603" spans="4:48" x14ac:dyDescent="0.3">
      <c r="D1603" s="5"/>
      <c r="E1603" s="5"/>
      <c r="F1603" s="20"/>
      <c r="G1603" s="20"/>
      <c r="H1603" s="5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4"/>
      <c r="T1603" s="4"/>
      <c r="U1603" s="4"/>
      <c r="V1603" s="4"/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  <c r="AG1603" s="4"/>
      <c r="AH1603" s="4"/>
      <c r="AI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</row>
    <row r="1604" spans="4:48" x14ac:dyDescent="0.3">
      <c r="D1604" s="5"/>
      <c r="E1604" s="5"/>
      <c r="F1604" s="20"/>
      <c r="G1604" s="20"/>
      <c r="H1604" s="5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4"/>
      <c r="T1604" s="4"/>
      <c r="U1604" s="4"/>
      <c r="V1604" s="4"/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  <c r="AG1604" s="4"/>
      <c r="AH1604" s="4"/>
      <c r="AI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</row>
    <row r="1605" spans="4:48" x14ac:dyDescent="0.3">
      <c r="D1605" s="5"/>
      <c r="E1605" s="5"/>
      <c r="F1605" s="20"/>
      <c r="G1605" s="20"/>
      <c r="H1605" s="5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4"/>
      <c r="T1605" s="4"/>
      <c r="U1605" s="4"/>
      <c r="V1605" s="4"/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  <c r="AG1605" s="4"/>
      <c r="AH1605" s="4"/>
      <c r="AI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</row>
    <row r="1606" spans="4:48" x14ac:dyDescent="0.3">
      <c r="D1606" s="5"/>
      <c r="E1606" s="5"/>
      <c r="F1606" s="20"/>
      <c r="G1606" s="20"/>
      <c r="H1606" s="5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4"/>
      <c r="T1606" s="4"/>
      <c r="U1606" s="4"/>
      <c r="V1606" s="4"/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  <c r="AG1606" s="4"/>
      <c r="AH1606" s="4"/>
      <c r="AI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</row>
    <row r="1607" spans="4:48" x14ac:dyDescent="0.3">
      <c r="D1607" s="5"/>
      <c r="E1607" s="5"/>
      <c r="F1607" s="20"/>
      <c r="G1607" s="20"/>
      <c r="H1607" s="5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4"/>
      <c r="T1607" s="4"/>
      <c r="U1607" s="4"/>
      <c r="V1607" s="4"/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  <c r="AG1607" s="4"/>
      <c r="AH1607" s="4"/>
      <c r="AI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</row>
    <row r="1608" spans="4:48" x14ac:dyDescent="0.3">
      <c r="D1608" s="5"/>
      <c r="E1608" s="5"/>
      <c r="F1608" s="20"/>
      <c r="G1608" s="20"/>
      <c r="H1608" s="5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4"/>
      <c r="T1608" s="4"/>
      <c r="U1608" s="4"/>
      <c r="V1608" s="4"/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  <c r="AG1608" s="4"/>
      <c r="AH1608" s="4"/>
      <c r="AI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</row>
    <row r="1609" spans="4:48" x14ac:dyDescent="0.3">
      <c r="D1609" s="5"/>
      <c r="E1609" s="5"/>
      <c r="F1609" s="20"/>
      <c r="G1609" s="20"/>
      <c r="H1609" s="5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4"/>
      <c r="T1609" s="4"/>
      <c r="U1609" s="4"/>
      <c r="V1609" s="4"/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  <c r="AG1609" s="4"/>
      <c r="AH1609" s="4"/>
      <c r="AI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</row>
    <row r="1610" spans="4:48" x14ac:dyDescent="0.3">
      <c r="D1610" s="5"/>
      <c r="E1610" s="5"/>
      <c r="F1610" s="20"/>
      <c r="G1610" s="20"/>
      <c r="H1610" s="5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4"/>
      <c r="T1610" s="4"/>
      <c r="U1610" s="4"/>
      <c r="V1610" s="4"/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  <c r="AG1610" s="4"/>
      <c r="AH1610" s="4"/>
      <c r="AI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</row>
    <row r="1611" spans="4:48" x14ac:dyDescent="0.3">
      <c r="D1611" s="5"/>
      <c r="E1611" s="5"/>
      <c r="F1611" s="20"/>
      <c r="G1611" s="20"/>
      <c r="H1611" s="5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4"/>
      <c r="T1611" s="4"/>
      <c r="U1611" s="4"/>
      <c r="V1611" s="4"/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  <c r="AG1611" s="4"/>
      <c r="AH1611" s="4"/>
      <c r="AI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</row>
    <row r="1612" spans="4:48" x14ac:dyDescent="0.3">
      <c r="D1612" s="5"/>
      <c r="E1612" s="5"/>
      <c r="F1612" s="20"/>
      <c r="G1612" s="20"/>
      <c r="H1612" s="5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4"/>
      <c r="T1612" s="4"/>
      <c r="U1612" s="4"/>
      <c r="V1612" s="4"/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  <c r="AG1612" s="4"/>
      <c r="AH1612" s="4"/>
      <c r="AI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</row>
    <row r="1613" spans="4:48" x14ac:dyDescent="0.3">
      <c r="D1613" s="5"/>
      <c r="E1613" s="5"/>
      <c r="F1613" s="20"/>
      <c r="G1613" s="20"/>
      <c r="H1613" s="5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4"/>
      <c r="T1613" s="4"/>
      <c r="U1613" s="4"/>
      <c r="V1613" s="4"/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  <c r="AG1613" s="4"/>
      <c r="AH1613" s="4"/>
      <c r="AI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</row>
    <row r="1614" spans="4:48" x14ac:dyDescent="0.3">
      <c r="D1614" s="5"/>
      <c r="E1614" s="5"/>
      <c r="F1614" s="20"/>
      <c r="G1614" s="20"/>
      <c r="H1614" s="5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4"/>
      <c r="T1614" s="4"/>
      <c r="U1614" s="4"/>
      <c r="V1614" s="4"/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  <c r="AG1614" s="4"/>
      <c r="AH1614" s="4"/>
      <c r="AI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</row>
    <row r="1615" spans="4:48" x14ac:dyDescent="0.3">
      <c r="D1615" s="5"/>
      <c r="E1615" s="5"/>
      <c r="F1615" s="20"/>
      <c r="G1615" s="20"/>
      <c r="H1615" s="5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4"/>
      <c r="T1615" s="4"/>
      <c r="U1615" s="4"/>
      <c r="V1615" s="4"/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  <c r="AG1615" s="4"/>
      <c r="AH1615" s="4"/>
      <c r="AI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</row>
    <row r="1616" spans="4:48" x14ac:dyDescent="0.3">
      <c r="D1616" s="5"/>
      <c r="E1616" s="5"/>
      <c r="F1616" s="20"/>
      <c r="G1616" s="20"/>
      <c r="H1616" s="5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4"/>
      <c r="T1616" s="4"/>
      <c r="U1616" s="4"/>
      <c r="V1616" s="4"/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  <c r="AG1616" s="4"/>
      <c r="AH1616" s="4"/>
      <c r="AI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</row>
    <row r="1617" spans="4:48" x14ac:dyDescent="0.3">
      <c r="D1617" s="5"/>
      <c r="E1617" s="5"/>
      <c r="F1617" s="20"/>
      <c r="G1617" s="20"/>
      <c r="H1617" s="5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4"/>
      <c r="T1617" s="4"/>
      <c r="U1617" s="4"/>
      <c r="V1617" s="4"/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  <c r="AG1617" s="4"/>
      <c r="AH1617" s="4"/>
      <c r="AI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</row>
    <row r="1618" spans="4:48" x14ac:dyDescent="0.3">
      <c r="D1618" s="5"/>
      <c r="E1618" s="5"/>
      <c r="F1618" s="20"/>
      <c r="G1618" s="20"/>
      <c r="H1618" s="5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4"/>
      <c r="T1618" s="4"/>
      <c r="U1618" s="4"/>
      <c r="V1618" s="4"/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  <c r="AG1618" s="4"/>
      <c r="AH1618" s="4"/>
      <c r="AI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</row>
    <row r="1619" spans="4:48" x14ac:dyDescent="0.3">
      <c r="D1619" s="5"/>
      <c r="E1619" s="5"/>
      <c r="F1619" s="20"/>
      <c r="G1619" s="20"/>
      <c r="H1619" s="5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4"/>
      <c r="T1619" s="4"/>
      <c r="U1619" s="4"/>
      <c r="V1619" s="4"/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  <c r="AG1619" s="4"/>
      <c r="AH1619" s="4"/>
      <c r="AI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</row>
    <row r="1620" spans="4:48" x14ac:dyDescent="0.3">
      <c r="D1620" s="5"/>
      <c r="E1620" s="5"/>
      <c r="F1620" s="20"/>
      <c r="G1620" s="20"/>
      <c r="H1620" s="5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4"/>
      <c r="T1620" s="4"/>
      <c r="U1620" s="4"/>
      <c r="V1620" s="4"/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  <c r="AG1620" s="4"/>
      <c r="AH1620" s="4"/>
      <c r="AI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</row>
    <row r="1621" spans="4:48" x14ac:dyDescent="0.3">
      <c r="D1621" s="5"/>
      <c r="E1621" s="5"/>
      <c r="F1621" s="20"/>
      <c r="G1621" s="20"/>
      <c r="H1621" s="5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4"/>
      <c r="T1621" s="4"/>
      <c r="U1621" s="4"/>
      <c r="V1621" s="4"/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  <c r="AG1621" s="4"/>
      <c r="AH1621" s="4"/>
      <c r="AI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</row>
    <row r="1622" spans="4:48" x14ac:dyDescent="0.3">
      <c r="D1622" s="5"/>
      <c r="E1622" s="5"/>
      <c r="F1622" s="20"/>
      <c r="G1622" s="20"/>
      <c r="H1622" s="5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4"/>
      <c r="T1622" s="4"/>
      <c r="U1622" s="4"/>
      <c r="V1622" s="4"/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  <c r="AG1622" s="4"/>
      <c r="AH1622" s="4"/>
      <c r="AI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</row>
    <row r="1623" spans="4:48" x14ac:dyDescent="0.3">
      <c r="D1623" s="5"/>
      <c r="E1623" s="5"/>
      <c r="F1623" s="20"/>
      <c r="G1623" s="20"/>
      <c r="H1623" s="5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4"/>
      <c r="T1623" s="4"/>
      <c r="U1623" s="4"/>
      <c r="V1623" s="4"/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  <c r="AG1623" s="4"/>
      <c r="AH1623" s="4"/>
      <c r="AI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</row>
    <row r="1624" spans="4:48" x14ac:dyDescent="0.3">
      <c r="D1624" s="5"/>
      <c r="E1624" s="5"/>
      <c r="F1624" s="20"/>
      <c r="G1624" s="20"/>
      <c r="H1624" s="5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4"/>
      <c r="T1624" s="4"/>
      <c r="U1624" s="4"/>
      <c r="V1624" s="4"/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  <c r="AG1624" s="4"/>
      <c r="AH1624" s="4"/>
      <c r="AI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</row>
    <row r="1625" spans="4:48" x14ac:dyDescent="0.3">
      <c r="D1625" s="5"/>
      <c r="E1625" s="5"/>
      <c r="F1625" s="20"/>
      <c r="G1625" s="20"/>
      <c r="H1625" s="5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4"/>
      <c r="T1625" s="4"/>
      <c r="U1625" s="4"/>
      <c r="V1625" s="4"/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  <c r="AG1625" s="4"/>
      <c r="AH1625" s="4"/>
      <c r="AI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</row>
    <row r="1626" spans="4:48" x14ac:dyDescent="0.3">
      <c r="D1626" s="5"/>
      <c r="E1626" s="5"/>
      <c r="F1626" s="20"/>
      <c r="G1626" s="20"/>
      <c r="H1626" s="5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4"/>
      <c r="T1626" s="4"/>
      <c r="U1626" s="4"/>
      <c r="V1626" s="4"/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  <c r="AG1626" s="4"/>
      <c r="AH1626" s="4"/>
      <c r="AI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</row>
    <row r="1627" spans="4:48" x14ac:dyDescent="0.3">
      <c r="D1627" s="5"/>
      <c r="E1627" s="5"/>
      <c r="F1627" s="20"/>
      <c r="G1627" s="20"/>
      <c r="H1627" s="5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4"/>
      <c r="T1627" s="4"/>
      <c r="U1627" s="4"/>
      <c r="V1627" s="4"/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  <c r="AG1627" s="4"/>
      <c r="AH1627" s="4"/>
      <c r="AI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</row>
    <row r="1628" spans="4:48" x14ac:dyDescent="0.3">
      <c r="D1628" s="5"/>
      <c r="E1628" s="5"/>
      <c r="F1628" s="20"/>
      <c r="G1628" s="20"/>
      <c r="H1628" s="5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4"/>
      <c r="T1628" s="4"/>
      <c r="U1628" s="4"/>
      <c r="V1628" s="4"/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  <c r="AG1628" s="4"/>
      <c r="AH1628" s="4"/>
      <c r="AI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</row>
    <row r="1629" spans="4:48" x14ac:dyDescent="0.3">
      <c r="D1629" s="5"/>
      <c r="E1629" s="5"/>
      <c r="F1629" s="20"/>
      <c r="G1629" s="20"/>
      <c r="H1629" s="5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4"/>
      <c r="T1629" s="4"/>
      <c r="U1629" s="4"/>
      <c r="V1629" s="4"/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  <c r="AG1629" s="4"/>
      <c r="AH1629" s="4"/>
      <c r="AI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</row>
    <row r="1630" spans="4:48" x14ac:dyDescent="0.3">
      <c r="D1630" s="5"/>
      <c r="E1630" s="5"/>
      <c r="F1630" s="20"/>
      <c r="G1630" s="20"/>
      <c r="H1630" s="5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4"/>
      <c r="T1630" s="4"/>
      <c r="U1630" s="4"/>
      <c r="V1630" s="4"/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  <c r="AG1630" s="4"/>
      <c r="AH1630" s="4"/>
      <c r="AI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</row>
    <row r="1631" spans="4:48" x14ac:dyDescent="0.3">
      <c r="D1631" s="5"/>
      <c r="E1631" s="5"/>
      <c r="F1631" s="20"/>
      <c r="G1631" s="20"/>
      <c r="H1631" s="5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4"/>
      <c r="T1631" s="4"/>
      <c r="U1631" s="4"/>
      <c r="V1631" s="4"/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  <c r="AG1631" s="4"/>
      <c r="AH1631" s="4"/>
      <c r="AI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</row>
    <row r="1632" spans="4:48" x14ac:dyDescent="0.3">
      <c r="D1632" s="5"/>
      <c r="E1632" s="5"/>
      <c r="F1632" s="20"/>
      <c r="G1632" s="20"/>
      <c r="H1632" s="5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4"/>
      <c r="T1632" s="4"/>
      <c r="U1632" s="4"/>
      <c r="V1632" s="4"/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  <c r="AG1632" s="4"/>
      <c r="AH1632" s="4"/>
      <c r="AI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</row>
    <row r="1633" spans="4:48" x14ac:dyDescent="0.3">
      <c r="D1633" s="5"/>
      <c r="E1633" s="5"/>
      <c r="F1633" s="20"/>
      <c r="G1633" s="20"/>
      <c r="H1633" s="5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4"/>
      <c r="T1633" s="4"/>
      <c r="U1633" s="4"/>
      <c r="V1633" s="4"/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  <c r="AG1633" s="4"/>
      <c r="AH1633" s="4"/>
      <c r="AI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</row>
    <row r="1634" spans="4:48" x14ac:dyDescent="0.3">
      <c r="D1634" s="5"/>
      <c r="E1634" s="5"/>
      <c r="F1634" s="20"/>
      <c r="G1634" s="20"/>
      <c r="H1634" s="5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4"/>
      <c r="T1634" s="4"/>
      <c r="U1634" s="4"/>
      <c r="V1634" s="4"/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  <c r="AG1634" s="4"/>
      <c r="AH1634" s="4"/>
      <c r="AI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</row>
    <row r="1635" spans="4:48" x14ac:dyDescent="0.3">
      <c r="D1635" s="5"/>
      <c r="E1635" s="5"/>
      <c r="F1635" s="20"/>
      <c r="G1635" s="20"/>
      <c r="H1635" s="5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  <c r="AG1635" s="4"/>
      <c r="AH1635" s="4"/>
      <c r="AI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</row>
    <row r="1636" spans="4:48" x14ac:dyDescent="0.3">
      <c r="D1636" s="5"/>
      <c r="E1636" s="5"/>
      <c r="F1636" s="20"/>
      <c r="G1636" s="20"/>
      <c r="H1636" s="5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4"/>
      <c r="T1636" s="4"/>
      <c r="U1636" s="4"/>
      <c r="V1636" s="4"/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</row>
    <row r="1637" spans="4:48" x14ac:dyDescent="0.3">
      <c r="D1637" s="5"/>
      <c r="E1637" s="5"/>
      <c r="F1637" s="20"/>
      <c r="G1637" s="20"/>
      <c r="H1637" s="5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4"/>
      <c r="T1637" s="4"/>
      <c r="U1637" s="4"/>
      <c r="V1637" s="4"/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  <c r="AG1637" s="4"/>
      <c r="AH1637" s="4"/>
      <c r="AI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</row>
    <row r="1638" spans="4:48" x14ac:dyDescent="0.3">
      <c r="D1638" s="5"/>
      <c r="E1638" s="5"/>
      <c r="F1638" s="20"/>
      <c r="G1638" s="20"/>
      <c r="H1638" s="5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4"/>
      <c r="T1638" s="4"/>
      <c r="U1638" s="4"/>
      <c r="V1638" s="4"/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  <c r="AG1638" s="4"/>
      <c r="AH1638" s="4"/>
      <c r="AI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</row>
    <row r="1639" spans="4:48" x14ac:dyDescent="0.3">
      <c r="D1639" s="5"/>
      <c r="E1639" s="5"/>
      <c r="F1639" s="20"/>
      <c r="G1639" s="20"/>
      <c r="H1639" s="5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4"/>
      <c r="T1639" s="4"/>
      <c r="U1639" s="4"/>
      <c r="V1639" s="4"/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  <c r="AG1639" s="4"/>
      <c r="AH1639" s="4"/>
      <c r="AI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</row>
    <row r="1640" spans="4:48" x14ac:dyDescent="0.3">
      <c r="D1640" s="5"/>
      <c r="E1640" s="5"/>
      <c r="F1640" s="20"/>
      <c r="G1640" s="20"/>
      <c r="H1640" s="5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4"/>
      <c r="T1640" s="4"/>
      <c r="U1640" s="4"/>
      <c r="V1640" s="4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  <c r="AG1640" s="4"/>
      <c r="AH1640" s="4"/>
      <c r="AI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</row>
    <row r="1641" spans="4:48" x14ac:dyDescent="0.3">
      <c r="D1641" s="5"/>
      <c r="E1641" s="5"/>
      <c r="F1641" s="20"/>
      <c r="G1641" s="20"/>
      <c r="H1641" s="5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4"/>
      <c r="T1641" s="4"/>
      <c r="U1641" s="4"/>
      <c r="V1641" s="4"/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  <c r="AG1641" s="4"/>
      <c r="AH1641" s="4"/>
      <c r="AI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</row>
    <row r="1642" spans="4:48" x14ac:dyDescent="0.3">
      <c r="D1642" s="5"/>
      <c r="E1642" s="5"/>
      <c r="F1642" s="20"/>
      <c r="G1642" s="20"/>
      <c r="H1642" s="5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4"/>
      <c r="T1642" s="4"/>
      <c r="U1642" s="4"/>
      <c r="V1642" s="4"/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  <c r="AG1642" s="4"/>
      <c r="AH1642" s="4"/>
      <c r="AI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</row>
    <row r="1643" spans="4:48" x14ac:dyDescent="0.3">
      <c r="D1643" s="5"/>
      <c r="E1643" s="5"/>
      <c r="F1643" s="20"/>
      <c r="G1643" s="20"/>
      <c r="H1643" s="5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4"/>
      <c r="T1643" s="4"/>
      <c r="U1643" s="4"/>
      <c r="V1643" s="4"/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  <c r="AG1643" s="4"/>
      <c r="AH1643" s="4"/>
      <c r="AI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</row>
    <row r="1644" spans="4:48" x14ac:dyDescent="0.3">
      <c r="D1644" s="5"/>
      <c r="E1644" s="5"/>
      <c r="F1644" s="20"/>
      <c r="G1644" s="20"/>
      <c r="H1644" s="5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4"/>
      <c r="T1644" s="4"/>
      <c r="U1644" s="4"/>
      <c r="V1644" s="4"/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  <c r="AG1644" s="4"/>
      <c r="AH1644" s="4"/>
      <c r="AI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</row>
    <row r="1645" spans="4:48" x14ac:dyDescent="0.3">
      <c r="D1645" s="5"/>
      <c r="E1645" s="5"/>
      <c r="F1645" s="20"/>
      <c r="G1645" s="20"/>
      <c r="H1645" s="5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4"/>
      <c r="T1645" s="4"/>
      <c r="U1645" s="4"/>
      <c r="V1645" s="4"/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  <c r="AG1645" s="4"/>
      <c r="AH1645" s="4"/>
      <c r="AI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</row>
    <row r="1646" spans="4:48" x14ac:dyDescent="0.3">
      <c r="D1646" s="5"/>
      <c r="E1646" s="5"/>
      <c r="F1646" s="20"/>
      <c r="G1646" s="20"/>
      <c r="H1646" s="5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4"/>
      <c r="T1646" s="4"/>
      <c r="U1646" s="4"/>
      <c r="V1646" s="4"/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  <c r="AG1646" s="4"/>
      <c r="AH1646" s="4"/>
      <c r="AI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</row>
    <row r="1647" spans="4:48" x14ac:dyDescent="0.3">
      <c r="D1647" s="5"/>
      <c r="E1647" s="5"/>
      <c r="F1647" s="20"/>
      <c r="G1647" s="20"/>
      <c r="H1647" s="5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4"/>
      <c r="T1647" s="4"/>
      <c r="U1647" s="4"/>
      <c r="V1647" s="4"/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  <c r="AG1647" s="4"/>
      <c r="AH1647" s="4"/>
      <c r="AI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</row>
    <row r="1648" spans="4:48" x14ac:dyDescent="0.3">
      <c r="D1648" s="5"/>
      <c r="E1648" s="5"/>
      <c r="F1648" s="20"/>
      <c r="G1648" s="20"/>
      <c r="H1648" s="5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4"/>
      <c r="T1648" s="4"/>
      <c r="U1648" s="4"/>
      <c r="V1648" s="4"/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  <c r="AG1648" s="4"/>
      <c r="AH1648" s="4"/>
      <c r="AI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</row>
    <row r="1649" spans="4:48" x14ac:dyDescent="0.3">
      <c r="D1649" s="5"/>
      <c r="E1649" s="5"/>
      <c r="F1649" s="20"/>
      <c r="G1649" s="20"/>
      <c r="H1649" s="5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4"/>
      <c r="T1649" s="4"/>
      <c r="U1649" s="4"/>
      <c r="V1649" s="4"/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  <c r="AG1649" s="4"/>
      <c r="AH1649" s="4"/>
      <c r="AI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</row>
    <row r="1650" spans="4:48" x14ac:dyDescent="0.3">
      <c r="D1650" s="5"/>
      <c r="E1650" s="5"/>
      <c r="F1650" s="20"/>
      <c r="G1650" s="20"/>
      <c r="H1650" s="5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4"/>
      <c r="T1650" s="4"/>
      <c r="U1650" s="4"/>
      <c r="V1650" s="4"/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  <c r="AG1650" s="4"/>
      <c r="AH1650" s="4"/>
      <c r="AI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</row>
    <row r="1651" spans="4:48" x14ac:dyDescent="0.3">
      <c r="D1651" s="5"/>
      <c r="E1651" s="5"/>
      <c r="F1651" s="20"/>
      <c r="G1651" s="20"/>
      <c r="H1651" s="5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4"/>
      <c r="T1651" s="4"/>
      <c r="U1651" s="4"/>
      <c r="V1651" s="4"/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  <c r="AG1651" s="4"/>
      <c r="AH1651" s="4"/>
      <c r="AI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</row>
    <row r="1652" spans="4:48" x14ac:dyDescent="0.3">
      <c r="D1652" s="5"/>
      <c r="E1652" s="5"/>
      <c r="F1652" s="20"/>
      <c r="G1652" s="20"/>
      <c r="H1652" s="5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4"/>
      <c r="T1652" s="4"/>
      <c r="U1652" s="4"/>
      <c r="V1652" s="4"/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  <c r="AG1652" s="4"/>
      <c r="AH1652" s="4"/>
      <c r="AI1652" s="4"/>
      <c r="AJ1652" s="4"/>
      <c r="AK1652" s="4"/>
      <c r="AL1652" s="4"/>
      <c r="AM1652" s="4"/>
      <c r="AN1652" s="4"/>
      <c r="AO1652" s="4"/>
      <c r="AP1652" s="4"/>
      <c r="AQ1652" s="4"/>
      <c r="AR1652" s="4"/>
      <c r="AS1652" s="4"/>
      <c r="AT1652" s="4"/>
      <c r="AU1652" s="4"/>
      <c r="AV1652" s="4"/>
    </row>
    <row r="1653" spans="4:48" x14ac:dyDescent="0.3">
      <c r="D1653" s="5"/>
      <c r="E1653" s="5"/>
      <c r="F1653" s="20"/>
      <c r="G1653" s="20"/>
      <c r="H1653" s="5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4"/>
      <c r="T1653" s="4"/>
      <c r="U1653" s="4"/>
      <c r="V1653" s="4"/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  <c r="AG1653" s="4"/>
      <c r="AH1653" s="4"/>
      <c r="AI1653" s="4"/>
      <c r="AJ1653" s="4"/>
      <c r="AK1653" s="4"/>
      <c r="AL1653" s="4"/>
      <c r="AM1653" s="4"/>
      <c r="AN1653" s="4"/>
      <c r="AO1653" s="4"/>
      <c r="AP1653" s="4"/>
      <c r="AQ1653" s="4"/>
      <c r="AR1653" s="4"/>
      <c r="AS1653" s="4"/>
      <c r="AT1653" s="4"/>
      <c r="AU1653" s="4"/>
      <c r="AV1653" s="4"/>
    </row>
    <row r="1654" spans="4:48" x14ac:dyDescent="0.3">
      <c r="D1654" s="5"/>
      <c r="E1654" s="5"/>
      <c r="F1654" s="20"/>
      <c r="G1654" s="20"/>
      <c r="H1654" s="5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4"/>
      <c r="T1654" s="4"/>
      <c r="U1654" s="4"/>
      <c r="V1654" s="4"/>
      <c r="W1654" s="4"/>
      <c r="X1654" s="4"/>
      <c r="Y1654" s="4"/>
      <c r="Z1654" s="4"/>
      <c r="AA1654" s="4"/>
      <c r="AB1654" s="4"/>
      <c r="AC1654" s="4"/>
      <c r="AD1654" s="4"/>
      <c r="AE1654" s="4"/>
      <c r="AF1654" s="4"/>
      <c r="AG1654" s="4"/>
      <c r="AH1654" s="4"/>
      <c r="AI1654" s="4"/>
      <c r="AJ1654" s="4"/>
      <c r="AK1654" s="4"/>
      <c r="AL1654" s="4"/>
      <c r="AM1654" s="4"/>
      <c r="AN1654" s="4"/>
      <c r="AO1654" s="4"/>
      <c r="AP1654" s="4"/>
      <c r="AQ1654" s="4"/>
      <c r="AR1654" s="4"/>
      <c r="AS1654" s="4"/>
      <c r="AT1654" s="4"/>
      <c r="AU1654" s="4"/>
      <c r="AV1654" s="4"/>
    </row>
    <row r="1655" spans="4:48" x14ac:dyDescent="0.3">
      <c r="D1655" s="5"/>
      <c r="E1655" s="5"/>
      <c r="F1655" s="20"/>
      <c r="G1655" s="20"/>
      <c r="H1655" s="5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4"/>
      <c r="T1655" s="4"/>
      <c r="U1655" s="4"/>
      <c r="V1655" s="4"/>
      <c r="W1655" s="4"/>
      <c r="X1655" s="4"/>
      <c r="Y1655" s="4"/>
      <c r="Z1655" s="4"/>
      <c r="AA1655" s="4"/>
      <c r="AB1655" s="4"/>
      <c r="AC1655" s="4"/>
      <c r="AD1655" s="4"/>
      <c r="AE1655" s="4"/>
      <c r="AF1655" s="4"/>
      <c r="AG1655" s="4"/>
      <c r="AH1655" s="4"/>
      <c r="AI1655" s="4"/>
      <c r="AJ1655" s="4"/>
      <c r="AK1655" s="4"/>
      <c r="AL1655" s="4"/>
      <c r="AM1655" s="4"/>
      <c r="AN1655" s="4"/>
      <c r="AO1655" s="4"/>
      <c r="AP1655" s="4"/>
      <c r="AQ1655" s="4"/>
      <c r="AR1655" s="4"/>
      <c r="AS1655" s="4"/>
      <c r="AT1655" s="4"/>
      <c r="AU1655" s="4"/>
      <c r="AV1655" s="4"/>
    </row>
    <row r="1656" spans="4:48" x14ac:dyDescent="0.3">
      <c r="D1656" s="5"/>
      <c r="E1656" s="5"/>
      <c r="F1656" s="20"/>
      <c r="G1656" s="20"/>
      <c r="H1656" s="5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4"/>
      <c r="T1656" s="4"/>
      <c r="U1656" s="4"/>
      <c r="V1656" s="4"/>
      <c r="W1656" s="4"/>
      <c r="X1656" s="4"/>
      <c r="Y1656" s="4"/>
      <c r="Z1656" s="4"/>
      <c r="AA1656" s="4"/>
      <c r="AB1656" s="4"/>
      <c r="AC1656" s="4"/>
      <c r="AD1656" s="4"/>
      <c r="AE1656" s="4"/>
      <c r="AF1656" s="4"/>
      <c r="AG1656" s="4"/>
      <c r="AH1656" s="4"/>
      <c r="AI1656" s="4"/>
      <c r="AJ1656" s="4"/>
      <c r="AK1656" s="4"/>
      <c r="AL1656" s="4"/>
      <c r="AM1656" s="4"/>
      <c r="AN1656" s="4"/>
      <c r="AO1656" s="4"/>
      <c r="AP1656" s="4"/>
      <c r="AQ1656" s="4"/>
      <c r="AR1656" s="4"/>
      <c r="AS1656" s="4"/>
      <c r="AT1656" s="4"/>
      <c r="AU1656" s="4"/>
      <c r="AV1656" s="4"/>
    </row>
    <row r="1657" spans="4:48" x14ac:dyDescent="0.3">
      <c r="D1657" s="5"/>
      <c r="E1657" s="5"/>
      <c r="F1657" s="20"/>
      <c r="G1657" s="20"/>
      <c r="H1657" s="5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4"/>
      <c r="T1657" s="4"/>
      <c r="U1657" s="4"/>
      <c r="V1657" s="4"/>
      <c r="W1657" s="4"/>
      <c r="X1657" s="4"/>
      <c r="Y1657" s="4"/>
      <c r="Z1657" s="4"/>
      <c r="AA1657" s="4"/>
      <c r="AB1657" s="4"/>
      <c r="AC1657" s="4"/>
      <c r="AD1657" s="4"/>
      <c r="AE1657" s="4"/>
      <c r="AF1657" s="4"/>
      <c r="AG1657" s="4"/>
      <c r="AH1657" s="4"/>
      <c r="AI1657" s="4"/>
      <c r="AJ1657" s="4"/>
      <c r="AK1657" s="4"/>
      <c r="AL1657" s="4"/>
      <c r="AM1657" s="4"/>
      <c r="AN1657" s="4"/>
      <c r="AO1657" s="4"/>
      <c r="AP1657" s="4"/>
      <c r="AQ1657" s="4"/>
      <c r="AR1657" s="4"/>
      <c r="AS1657" s="4"/>
      <c r="AT1657" s="4"/>
      <c r="AU1657" s="4"/>
      <c r="AV1657" s="4"/>
    </row>
    <row r="1658" spans="4:48" x14ac:dyDescent="0.3">
      <c r="D1658" s="5"/>
      <c r="E1658" s="5"/>
      <c r="F1658" s="20"/>
      <c r="G1658" s="20"/>
      <c r="H1658" s="5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4"/>
      <c r="T1658" s="4"/>
      <c r="U1658" s="4"/>
      <c r="V1658" s="4"/>
      <c r="W1658" s="4"/>
      <c r="X1658" s="4"/>
      <c r="Y1658" s="4"/>
      <c r="Z1658" s="4"/>
      <c r="AA1658" s="4"/>
      <c r="AB1658" s="4"/>
      <c r="AC1658" s="4"/>
      <c r="AD1658" s="4"/>
      <c r="AE1658" s="4"/>
      <c r="AF1658" s="4"/>
      <c r="AG1658" s="4"/>
      <c r="AH1658" s="4"/>
      <c r="AI1658" s="4"/>
      <c r="AJ1658" s="4"/>
      <c r="AK1658" s="4"/>
      <c r="AL1658" s="4"/>
      <c r="AM1658" s="4"/>
      <c r="AN1658" s="4"/>
      <c r="AO1658" s="4"/>
      <c r="AP1658" s="4"/>
      <c r="AQ1658" s="4"/>
      <c r="AR1658" s="4"/>
      <c r="AS1658" s="4"/>
      <c r="AT1658" s="4"/>
      <c r="AU1658" s="4"/>
      <c r="AV1658" s="4"/>
    </row>
    <row r="1659" spans="4:48" x14ac:dyDescent="0.3">
      <c r="D1659" s="5"/>
      <c r="E1659" s="5"/>
      <c r="F1659" s="20"/>
      <c r="G1659" s="20"/>
      <c r="H1659" s="5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4"/>
      <c r="T1659" s="4"/>
      <c r="U1659" s="4"/>
      <c r="V1659" s="4"/>
      <c r="W1659" s="4"/>
      <c r="X1659" s="4"/>
      <c r="Y1659" s="4"/>
      <c r="Z1659" s="4"/>
      <c r="AA1659" s="4"/>
      <c r="AB1659" s="4"/>
      <c r="AC1659" s="4"/>
      <c r="AD1659" s="4"/>
      <c r="AE1659" s="4"/>
      <c r="AF1659" s="4"/>
      <c r="AG1659" s="4"/>
      <c r="AH1659" s="4"/>
      <c r="AI1659" s="4"/>
      <c r="AJ1659" s="4"/>
      <c r="AK1659" s="4"/>
      <c r="AL1659" s="4"/>
      <c r="AM1659" s="4"/>
      <c r="AN1659" s="4"/>
      <c r="AO1659" s="4"/>
      <c r="AP1659" s="4"/>
      <c r="AQ1659" s="4"/>
      <c r="AR1659" s="4"/>
      <c r="AS1659" s="4"/>
      <c r="AT1659" s="4"/>
      <c r="AU1659" s="4"/>
      <c r="AV1659" s="4"/>
    </row>
    <row r="1660" spans="4:48" x14ac:dyDescent="0.3">
      <c r="D1660" s="5"/>
      <c r="E1660" s="5"/>
      <c r="F1660" s="20"/>
      <c r="G1660" s="20"/>
      <c r="H1660" s="5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4"/>
      <c r="T1660" s="4"/>
      <c r="U1660" s="4"/>
      <c r="V1660" s="4"/>
      <c r="W1660" s="4"/>
      <c r="X1660" s="4"/>
      <c r="Y1660" s="4"/>
      <c r="Z1660" s="4"/>
      <c r="AA1660" s="4"/>
      <c r="AB1660" s="4"/>
      <c r="AC1660" s="4"/>
      <c r="AD1660" s="4"/>
      <c r="AE1660" s="4"/>
      <c r="AF1660" s="4"/>
      <c r="AG1660" s="4"/>
      <c r="AH1660" s="4"/>
      <c r="AI1660" s="4"/>
      <c r="AJ1660" s="4"/>
      <c r="AK1660" s="4"/>
      <c r="AL1660" s="4"/>
      <c r="AM1660" s="4"/>
      <c r="AN1660" s="4"/>
      <c r="AO1660" s="4"/>
      <c r="AP1660" s="4"/>
      <c r="AQ1660" s="4"/>
      <c r="AR1660" s="4"/>
      <c r="AS1660" s="4"/>
      <c r="AT1660" s="4"/>
      <c r="AU1660" s="4"/>
      <c r="AV1660" s="4"/>
    </row>
    <row r="1661" spans="4:48" x14ac:dyDescent="0.3">
      <c r="D1661" s="5"/>
      <c r="E1661" s="5"/>
      <c r="F1661" s="20"/>
      <c r="G1661" s="20"/>
      <c r="H1661" s="5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4"/>
      <c r="T1661" s="4"/>
      <c r="U1661" s="4"/>
      <c r="V1661" s="4"/>
      <c r="W1661" s="4"/>
      <c r="X1661" s="4"/>
      <c r="Y1661" s="4"/>
      <c r="Z1661" s="4"/>
      <c r="AA1661" s="4"/>
      <c r="AB1661" s="4"/>
      <c r="AC1661" s="4"/>
      <c r="AD1661" s="4"/>
      <c r="AE1661" s="4"/>
      <c r="AF1661" s="4"/>
      <c r="AG1661" s="4"/>
      <c r="AH1661" s="4"/>
      <c r="AI1661" s="4"/>
      <c r="AJ1661" s="4"/>
      <c r="AK1661" s="4"/>
      <c r="AL1661" s="4"/>
      <c r="AM1661" s="4"/>
      <c r="AN1661" s="4"/>
      <c r="AO1661" s="4"/>
      <c r="AP1661" s="4"/>
      <c r="AQ1661" s="4"/>
      <c r="AR1661" s="4"/>
      <c r="AS1661" s="4"/>
      <c r="AT1661" s="4"/>
      <c r="AU1661" s="4"/>
      <c r="AV1661" s="4"/>
    </row>
    <row r="1662" spans="4:48" x14ac:dyDescent="0.3">
      <c r="D1662" s="5"/>
      <c r="E1662" s="5"/>
      <c r="F1662" s="20"/>
      <c r="G1662" s="20"/>
      <c r="H1662" s="5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4"/>
      <c r="T1662" s="4"/>
      <c r="U1662" s="4"/>
      <c r="V1662" s="4"/>
      <c r="W1662" s="4"/>
      <c r="X1662" s="4"/>
      <c r="Y1662" s="4"/>
      <c r="Z1662" s="4"/>
      <c r="AA1662" s="4"/>
      <c r="AB1662" s="4"/>
      <c r="AC1662" s="4"/>
      <c r="AD1662" s="4"/>
      <c r="AE1662" s="4"/>
      <c r="AF1662" s="4"/>
      <c r="AG1662" s="4"/>
      <c r="AH1662" s="4"/>
      <c r="AI1662" s="4"/>
      <c r="AJ1662" s="4"/>
      <c r="AK1662" s="4"/>
      <c r="AL1662" s="4"/>
      <c r="AM1662" s="4"/>
      <c r="AN1662" s="4"/>
      <c r="AO1662" s="4"/>
      <c r="AP1662" s="4"/>
      <c r="AQ1662" s="4"/>
      <c r="AR1662" s="4"/>
      <c r="AS1662" s="4"/>
      <c r="AT1662" s="4"/>
      <c r="AU1662" s="4"/>
      <c r="AV1662" s="4"/>
    </row>
    <row r="1663" spans="4:48" x14ac:dyDescent="0.3">
      <c r="D1663" s="5"/>
      <c r="E1663" s="5"/>
      <c r="F1663" s="20"/>
      <c r="G1663" s="20"/>
      <c r="H1663" s="5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4"/>
      <c r="T1663" s="4"/>
      <c r="U1663" s="4"/>
      <c r="V1663" s="4"/>
      <c r="W1663" s="4"/>
      <c r="X1663" s="4"/>
      <c r="Y1663" s="4"/>
      <c r="Z1663" s="4"/>
      <c r="AA1663" s="4"/>
      <c r="AB1663" s="4"/>
      <c r="AC1663" s="4"/>
      <c r="AD1663" s="4"/>
      <c r="AE1663" s="4"/>
      <c r="AF1663" s="4"/>
      <c r="AG1663" s="4"/>
      <c r="AH1663" s="4"/>
      <c r="AI1663" s="4"/>
      <c r="AJ1663" s="4"/>
      <c r="AK1663" s="4"/>
      <c r="AL1663" s="4"/>
      <c r="AM1663" s="4"/>
      <c r="AN1663" s="4"/>
      <c r="AO1663" s="4"/>
      <c r="AP1663" s="4"/>
      <c r="AQ1663" s="4"/>
      <c r="AR1663" s="4"/>
      <c r="AS1663" s="4"/>
      <c r="AT1663" s="4"/>
      <c r="AU1663" s="4"/>
      <c r="AV1663" s="4"/>
    </row>
    <row r="1664" spans="4:48" x14ac:dyDescent="0.3">
      <c r="D1664" s="5"/>
      <c r="E1664" s="5"/>
      <c r="F1664" s="20"/>
      <c r="G1664" s="20"/>
      <c r="H1664" s="5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4"/>
      <c r="T1664" s="4"/>
      <c r="U1664" s="4"/>
      <c r="V1664" s="4"/>
      <c r="W1664" s="4"/>
      <c r="X1664" s="4"/>
      <c r="Y1664" s="4"/>
      <c r="Z1664" s="4"/>
      <c r="AA1664" s="4"/>
      <c r="AB1664" s="4"/>
      <c r="AC1664" s="4"/>
      <c r="AD1664" s="4"/>
      <c r="AE1664" s="4"/>
      <c r="AF1664" s="4"/>
      <c r="AG1664" s="4"/>
      <c r="AH1664" s="4"/>
      <c r="AI1664" s="4"/>
      <c r="AJ1664" s="4"/>
      <c r="AK1664" s="4"/>
      <c r="AL1664" s="4"/>
      <c r="AM1664" s="4"/>
      <c r="AN1664" s="4"/>
      <c r="AO1664" s="4"/>
      <c r="AP1664" s="4"/>
      <c r="AQ1664" s="4"/>
      <c r="AR1664" s="4"/>
      <c r="AS1664" s="4"/>
      <c r="AT1664" s="4"/>
      <c r="AU1664" s="4"/>
      <c r="AV1664" s="4"/>
    </row>
    <row r="1665" spans="4:48" x14ac:dyDescent="0.3">
      <c r="D1665" s="5"/>
      <c r="E1665" s="5"/>
      <c r="F1665" s="20"/>
      <c r="G1665" s="20"/>
      <c r="H1665" s="5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4"/>
      <c r="T1665" s="4"/>
      <c r="U1665" s="4"/>
      <c r="V1665" s="4"/>
      <c r="W1665" s="4"/>
      <c r="X1665" s="4"/>
      <c r="Y1665" s="4"/>
      <c r="Z1665" s="4"/>
      <c r="AA1665" s="4"/>
      <c r="AB1665" s="4"/>
      <c r="AC1665" s="4"/>
      <c r="AD1665" s="4"/>
      <c r="AE1665" s="4"/>
      <c r="AF1665" s="4"/>
      <c r="AG1665" s="4"/>
      <c r="AH1665" s="4"/>
      <c r="AI1665" s="4"/>
      <c r="AJ1665" s="4"/>
      <c r="AK1665" s="4"/>
      <c r="AL1665" s="4"/>
      <c r="AM1665" s="4"/>
      <c r="AN1665" s="4"/>
      <c r="AO1665" s="4"/>
      <c r="AP1665" s="4"/>
      <c r="AQ1665" s="4"/>
      <c r="AR1665" s="4"/>
      <c r="AS1665" s="4"/>
      <c r="AT1665" s="4"/>
      <c r="AU1665" s="4"/>
      <c r="AV1665" s="4"/>
    </row>
    <row r="1666" spans="4:48" x14ac:dyDescent="0.3">
      <c r="D1666" s="5"/>
      <c r="E1666" s="5"/>
      <c r="F1666" s="20"/>
      <c r="G1666" s="20"/>
      <c r="H1666" s="5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4"/>
      <c r="T1666" s="4"/>
      <c r="U1666" s="4"/>
      <c r="V1666" s="4"/>
      <c r="W1666" s="4"/>
      <c r="X1666" s="4"/>
      <c r="Y1666" s="4"/>
      <c r="Z1666" s="4"/>
      <c r="AA1666" s="4"/>
      <c r="AB1666" s="4"/>
      <c r="AC1666" s="4"/>
      <c r="AD1666" s="4"/>
      <c r="AE1666" s="4"/>
      <c r="AF1666" s="4"/>
      <c r="AG1666" s="4"/>
      <c r="AH1666" s="4"/>
      <c r="AI1666" s="4"/>
      <c r="AJ1666" s="4"/>
      <c r="AK1666" s="4"/>
      <c r="AL1666" s="4"/>
      <c r="AM1666" s="4"/>
      <c r="AN1666" s="4"/>
      <c r="AO1666" s="4"/>
      <c r="AP1666" s="4"/>
      <c r="AQ1666" s="4"/>
      <c r="AR1666" s="4"/>
      <c r="AS1666" s="4"/>
      <c r="AT1666" s="4"/>
      <c r="AU1666" s="4"/>
      <c r="AV1666" s="4"/>
    </row>
    <row r="1667" spans="4:48" x14ac:dyDescent="0.3">
      <c r="D1667" s="5"/>
      <c r="E1667" s="5"/>
      <c r="F1667" s="20"/>
      <c r="G1667" s="20"/>
      <c r="H1667" s="5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4"/>
      <c r="T1667" s="4"/>
      <c r="U1667" s="4"/>
      <c r="V1667" s="4"/>
      <c r="W1667" s="4"/>
      <c r="X1667" s="4"/>
      <c r="Y1667" s="4"/>
      <c r="Z1667" s="4"/>
      <c r="AA1667" s="4"/>
      <c r="AB1667" s="4"/>
      <c r="AC1667" s="4"/>
      <c r="AD1667" s="4"/>
      <c r="AE1667" s="4"/>
      <c r="AF1667" s="4"/>
      <c r="AG1667" s="4"/>
      <c r="AH1667" s="4"/>
      <c r="AI1667" s="4"/>
      <c r="AJ1667" s="4"/>
      <c r="AK1667" s="4"/>
      <c r="AL1667" s="4"/>
      <c r="AM1667" s="4"/>
      <c r="AN1667" s="4"/>
      <c r="AO1667" s="4"/>
      <c r="AP1667" s="4"/>
      <c r="AQ1667" s="4"/>
      <c r="AR1667" s="4"/>
      <c r="AS1667" s="4"/>
      <c r="AT1667" s="4"/>
      <c r="AU1667" s="4"/>
      <c r="AV1667" s="4"/>
    </row>
    <row r="1668" spans="4:48" x14ac:dyDescent="0.3">
      <c r="D1668" s="5"/>
      <c r="E1668" s="5"/>
      <c r="F1668" s="20"/>
      <c r="G1668" s="20"/>
      <c r="H1668" s="5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4"/>
      <c r="T1668" s="4"/>
      <c r="U1668" s="4"/>
      <c r="V1668" s="4"/>
      <c r="W1668" s="4"/>
      <c r="X1668" s="4"/>
      <c r="Y1668" s="4"/>
      <c r="Z1668" s="4"/>
      <c r="AA1668" s="4"/>
      <c r="AB1668" s="4"/>
      <c r="AC1668" s="4"/>
      <c r="AD1668" s="4"/>
      <c r="AE1668" s="4"/>
      <c r="AF1668" s="4"/>
      <c r="AG1668" s="4"/>
      <c r="AH1668" s="4"/>
      <c r="AI1668" s="4"/>
      <c r="AJ1668" s="4"/>
      <c r="AK1668" s="4"/>
      <c r="AL1668" s="4"/>
      <c r="AM1668" s="4"/>
      <c r="AN1668" s="4"/>
      <c r="AO1668" s="4"/>
      <c r="AP1668" s="4"/>
      <c r="AQ1668" s="4"/>
      <c r="AR1668" s="4"/>
      <c r="AS1668" s="4"/>
      <c r="AT1668" s="4"/>
      <c r="AU1668" s="4"/>
      <c r="AV1668" s="4"/>
    </row>
    <row r="1669" spans="4:48" x14ac:dyDescent="0.3">
      <c r="D1669" s="5"/>
      <c r="E1669" s="5"/>
      <c r="F1669" s="20"/>
      <c r="G1669" s="20"/>
      <c r="H1669" s="5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4"/>
      <c r="T1669" s="4"/>
      <c r="U1669" s="4"/>
      <c r="V1669" s="4"/>
      <c r="W1669" s="4"/>
      <c r="X1669" s="4"/>
      <c r="Y1669" s="4"/>
      <c r="Z1669" s="4"/>
      <c r="AA1669" s="4"/>
      <c r="AB1669" s="4"/>
      <c r="AC1669" s="4"/>
      <c r="AD1669" s="4"/>
      <c r="AE1669" s="4"/>
      <c r="AF1669" s="4"/>
      <c r="AG1669" s="4"/>
      <c r="AH1669" s="4"/>
      <c r="AI1669" s="4"/>
      <c r="AJ1669" s="4"/>
      <c r="AK1669" s="4"/>
      <c r="AL1669" s="4"/>
      <c r="AM1669" s="4"/>
      <c r="AN1669" s="4"/>
      <c r="AO1669" s="4"/>
      <c r="AP1669" s="4"/>
      <c r="AQ1669" s="4"/>
      <c r="AR1669" s="4"/>
      <c r="AS1669" s="4"/>
      <c r="AT1669" s="4"/>
      <c r="AU1669" s="4"/>
      <c r="AV1669" s="4"/>
    </row>
    <row r="1670" spans="4:48" x14ac:dyDescent="0.3">
      <c r="D1670" s="5"/>
      <c r="E1670" s="5"/>
      <c r="F1670" s="20"/>
      <c r="G1670" s="20"/>
      <c r="H1670" s="5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4"/>
      <c r="T1670" s="4"/>
      <c r="U1670" s="4"/>
      <c r="V1670" s="4"/>
      <c r="W1670" s="4"/>
      <c r="X1670" s="4"/>
      <c r="Y1670" s="4"/>
      <c r="Z1670" s="4"/>
      <c r="AA1670" s="4"/>
      <c r="AB1670" s="4"/>
      <c r="AC1670" s="4"/>
      <c r="AD1670" s="4"/>
      <c r="AE1670" s="4"/>
      <c r="AF1670" s="4"/>
      <c r="AG1670" s="4"/>
      <c r="AH1670" s="4"/>
      <c r="AI1670" s="4"/>
      <c r="AJ1670" s="4"/>
      <c r="AK1670" s="4"/>
      <c r="AL1670" s="4"/>
      <c r="AM1670" s="4"/>
      <c r="AN1670" s="4"/>
      <c r="AO1670" s="4"/>
      <c r="AP1670" s="4"/>
      <c r="AQ1670" s="4"/>
      <c r="AR1670" s="4"/>
      <c r="AS1670" s="4"/>
      <c r="AT1670" s="4"/>
      <c r="AU1670" s="4"/>
      <c r="AV1670" s="4"/>
    </row>
    <row r="1671" spans="4:48" x14ac:dyDescent="0.3">
      <c r="D1671" s="5"/>
      <c r="E1671" s="5"/>
      <c r="F1671" s="20"/>
      <c r="G1671" s="20"/>
      <c r="H1671" s="5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4"/>
      <c r="T1671" s="4"/>
      <c r="U1671" s="4"/>
      <c r="V1671" s="4"/>
      <c r="W1671" s="4"/>
      <c r="X1671" s="4"/>
      <c r="Y1671" s="4"/>
      <c r="Z1671" s="4"/>
      <c r="AA1671" s="4"/>
      <c r="AB1671" s="4"/>
      <c r="AC1671" s="4"/>
      <c r="AD1671" s="4"/>
      <c r="AE1671" s="4"/>
      <c r="AF1671" s="4"/>
      <c r="AG1671" s="4"/>
      <c r="AH1671" s="4"/>
      <c r="AI1671" s="4"/>
      <c r="AJ1671" s="4"/>
      <c r="AK1671" s="4"/>
      <c r="AL1671" s="4"/>
      <c r="AM1671" s="4"/>
      <c r="AN1671" s="4"/>
      <c r="AO1671" s="4"/>
      <c r="AP1671" s="4"/>
      <c r="AQ1671" s="4"/>
      <c r="AR1671" s="4"/>
      <c r="AS1671" s="4"/>
      <c r="AT1671" s="4"/>
      <c r="AU1671" s="4"/>
      <c r="AV1671" s="4"/>
    </row>
    <row r="1672" spans="4:48" x14ac:dyDescent="0.3">
      <c r="D1672" s="5"/>
      <c r="E1672" s="5"/>
      <c r="F1672" s="20"/>
      <c r="G1672" s="20"/>
      <c r="H1672" s="5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4"/>
      <c r="T1672" s="4"/>
      <c r="U1672" s="4"/>
      <c r="V1672" s="4"/>
      <c r="W1672" s="4"/>
      <c r="X1672" s="4"/>
      <c r="Y1672" s="4"/>
      <c r="Z1672" s="4"/>
      <c r="AA1672" s="4"/>
      <c r="AB1672" s="4"/>
      <c r="AC1672" s="4"/>
      <c r="AD1672" s="4"/>
      <c r="AE1672" s="4"/>
      <c r="AF1672" s="4"/>
      <c r="AG1672" s="4"/>
      <c r="AH1672" s="4"/>
      <c r="AI1672" s="4"/>
      <c r="AJ1672" s="4"/>
      <c r="AK1672" s="4"/>
      <c r="AL1672" s="4"/>
      <c r="AM1672" s="4"/>
      <c r="AN1672" s="4"/>
      <c r="AO1672" s="4"/>
      <c r="AP1672" s="4"/>
      <c r="AQ1672" s="4"/>
      <c r="AR1672" s="4"/>
      <c r="AS1672" s="4"/>
      <c r="AT1672" s="4"/>
      <c r="AU1672" s="4"/>
      <c r="AV1672" s="4"/>
    </row>
    <row r="1673" spans="4:48" x14ac:dyDescent="0.3">
      <c r="D1673" s="5"/>
      <c r="E1673" s="5"/>
      <c r="F1673" s="20"/>
      <c r="G1673" s="20"/>
      <c r="H1673" s="5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4"/>
      <c r="T1673" s="4"/>
      <c r="U1673" s="4"/>
      <c r="V1673" s="4"/>
      <c r="W1673" s="4"/>
      <c r="X1673" s="4"/>
      <c r="Y1673" s="4"/>
      <c r="Z1673" s="4"/>
      <c r="AA1673" s="4"/>
      <c r="AB1673" s="4"/>
      <c r="AC1673" s="4"/>
      <c r="AD1673" s="4"/>
      <c r="AE1673" s="4"/>
      <c r="AF1673" s="4"/>
      <c r="AG1673" s="4"/>
      <c r="AH1673" s="4"/>
      <c r="AI1673" s="4"/>
      <c r="AJ1673" s="4"/>
      <c r="AK1673" s="4"/>
      <c r="AL1673" s="4"/>
      <c r="AM1673" s="4"/>
      <c r="AN1673" s="4"/>
      <c r="AO1673" s="4"/>
      <c r="AP1673" s="4"/>
      <c r="AQ1673" s="4"/>
      <c r="AR1673" s="4"/>
      <c r="AS1673" s="4"/>
      <c r="AT1673" s="4"/>
      <c r="AU1673" s="4"/>
      <c r="AV1673" s="4"/>
    </row>
    <row r="1674" spans="4:48" x14ac:dyDescent="0.3">
      <c r="D1674" s="5"/>
      <c r="E1674" s="5"/>
      <c r="F1674" s="20"/>
      <c r="G1674" s="20"/>
      <c r="H1674" s="5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4"/>
      <c r="T1674" s="4"/>
      <c r="U1674" s="4"/>
      <c r="V1674" s="4"/>
      <c r="W1674" s="4"/>
      <c r="X1674" s="4"/>
      <c r="Y1674" s="4"/>
      <c r="Z1674" s="4"/>
      <c r="AA1674" s="4"/>
      <c r="AB1674" s="4"/>
      <c r="AC1674" s="4"/>
      <c r="AD1674" s="4"/>
      <c r="AE1674" s="4"/>
      <c r="AF1674" s="4"/>
      <c r="AG1674" s="4"/>
      <c r="AH1674" s="4"/>
      <c r="AI1674" s="4"/>
      <c r="AJ1674" s="4"/>
      <c r="AK1674" s="4"/>
      <c r="AL1674" s="4"/>
      <c r="AM1674" s="4"/>
      <c r="AN1674" s="4"/>
      <c r="AO1674" s="4"/>
      <c r="AP1674" s="4"/>
      <c r="AQ1674" s="4"/>
      <c r="AR1674" s="4"/>
      <c r="AS1674" s="4"/>
      <c r="AT1674" s="4"/>
      <c r="AU1674" s="4"/>
      <c r="AV1674" s="4"/>
    </row>
    <row r="1675" spans="4:48" x14ac:dyDescent="0.3">
      <c r="D1675" s="5"/>
      <c r="E1675" s="5"/>
      <c r="F1675" s="20"/>
      <c r="G1675" s="20"/>
      <c r="H1675" s="5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4"/>
      <c r="T1675" s="4"/>
      <c r="U1675" s="4"/>
      <c r="V1675" s="4"/>
      <c r="W1675" s="4"/>
      <c r="X1675" s="4"/>
      <c r="Y1675" s="4"/>
      <c r="Z1675" s="4"/>
      <c r="AA1675" s="4"/>
      <c r="AB1675" s="4"/>
      <c r="AC1675" s="4"/>
      <c r="AD1675" s="4"/>
      <c r="AE1675" s="4"/>
      <c r="AF1675" s="4"/>
      <c r="AG1675" s="4"/>
      <c r="AH1675" s="4"/>
      <c r="AI1675" s="4"/>
      <c r="AJ1675" s="4"/>
      <c r="AK1675" s="4"/>
      <c r="AL1675" s="4"/>
      <c r="AM1675" s="4"/>
      <c r="AN1675" s="4"/>
      <c r="AO1675" s="4"/>
      <c r="AP1675" s="4"/>
      <c r="AQ1675" s="4"/>
      <c r="AR1675" s="4"/>
      <c r="AS1675" s="4"/>
      <c r="AT1675" s="4"/>
      <c r="AU1675" s="4"/>
      <c r="AV1675" s="4"/>
    </row>
    <row r="1676" spans="4:48" x14ac:dyDescent="0.3">
      <c r="D1676" s="5"/>
      <c r="E1676" s="5"/>
      <c r="F1676" s="20"/>
      <c r="G1676" s="20"/>
      <c r="H1676" s="5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4"/>
      <c r="T1676" s="4"/>
      <c r="U1676" s="4"/>
      <c r="V1676" s="4"/>
      <c r="W1676" s="4"/>
      <c r="X1676" s="4"/>
      <c r="Y1676" s="4"/>
      <c r="Z1676" s="4"/>
      <c r="AA1676" s="4"/>
      <c r="AB1676" s="4"/>
      <c r="AC1676" s="4"/>
      <c r="AD1676" s="4"/>
      <c r="AE1676" s="4"/>
      <c r="AF1676" s="4"/>
      <c r="AG1676" s="4"/>
      <c r="AH1676" s="4"/>
      <c r="AI1676" s="4"/>
      <c r="AJ1676" s="4"/>
      <c r="AK1676" s="4"/>
      <c r="AL1676" s="4"/>
      <c r="AM1676" s="4"/>
      <c r="AN1676" s="4"/>
      <c r="AO1676" s="4"/>
      <c r="AP1676" s="4"/>
      <c r="AQ1676" s="4"/>
      <c r="AR1676" s="4"/>
      <c r="AS1676" s="4"/>
      <c r="AT1676" s="4"/>
      <c r="AU1676" s="4"/>
      <c r="AV1676" s="4"/>
    </row>
    <row r="1677" spans="4:48" x14ac:dyDescent="0.3">
      <c r="D1677" s="5"/>
      <c r="E1677" s="5"/>
      <c r="F1677" s="20"/>
      <c r="G1677" s="20"/>
      <c r="H1677" s="5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4"/>
      <c r="T1677" s="4"/>
      <c r="U1677" s="4"/>
      <c r="V1677" s="4"/>
      <c r="W1677" s="4"/>
      <c r="X1677" s="4"/>
      <c r="Y1677" s="4"/>
      <c r="Z1677" s="4"/>
      <c r="AA1677" s="4"/>
      <c r="AB1677" s="4"/>
      <c r="AC1677" s="4"/>
      <c r="AD1677" s="4"/>
      <c r="AE1677" s="4"/>
      <c r="AF1677" s="4"/>
      <c r="AG1677" s="4"/>
      <c r="AH1677" s="4"/>
      <c r="AI1677" s="4"/>
      <c r="AJ1677" s="4"/>
      <c r="AK1677" s="4"/>
      <c r="AL1677" s="4"/>
      <c r="AM1677" s="4"/>
      <c r="AN1677" s="4"/>
      <c r="AO1677" s="4"/>
      <c r="AP1677" s="4"/>
      <c r="AQ1677" s="4"/>
      <c r="AR1677" s="4"/>
      <c r="AS1677" s="4"/>
      <c r="AT1677" s="4"/>
      <c r="AU1677" s="4"/>
      <c r="AV1677" s="4"/>
    </row>
    <row r="1678" spans="4:48" x14ac:dyDescent="0.3">
      <c r="D1678" s="5"/>
      <c r="E1678" s="5"/>
      <c r="F1678" s="20"/>
      <c r="G1678" s="20"/>
      <c r="H1678" s="5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4"/>
      <c r="T1678" s="4"/>
      <c r="U1678" s="4"/>
      <c r="V1678" s="4"/>
      <c r="W1678" s="4"/>
      <c r="X1678" s="4"/>
      <c r="Y1678" s="4"/>
      <c r="Z1678" s="4"/>
      <c r="AA1678" s="4"/>
      <c r="AB1678" s="4"/>
      <c r="AC1678" s="4"/>
      <c r="AD1678" s="4"/>
      <c r="AE1678" s="4"/>
      <c r="AF1678" s="4"/>
      <c r="AG1678" s="4"/>
      <c r="AH1678" s="4"/>
      <c r="AI1678" s="4"/>
      <c r="AJ1678" s="4"/>
      <c r="AK1678" s="4"/>
      <c r="AL1678" s="4"/>
      <c r="AM1678" s="4"/>
      <c r="AN1678" s="4"/>
      <c r="AO1678" s="4"/>
      <c r="AP1678" s="4"/>
      <c r="AQ1678" s="4"/>
      <c r="AR1678" s="4"/>
      <c r="AS1678" s="4"/>
      <c r="AT1678" s="4"/>
      <c r="AU1678" s="4"/>
      <c r="AV1678" s="4"/>
    </row>
    <row r="1679" spans="4:48" x14ac:dyDescent="0.3">
      <c r="D1679" s="5"/>
      <c r="E1679" s="5"/>
      <c r="F1679" s="20"/>
      <c r="G1679" s="20"/>
      <c r="H1679" s="5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4"/>
      <c r="T1679" s="4"/>
      <c r="U1679" s="4"/>
      <c r="V1679" s="4"/>
      <c r="W1679" s="4"/>
      <c r="X1679" s="4"/>
      <c r="Y1679" s="4"/>
      <c r="Z1679" s="4"/>
      <c r="AA1679" s="4"/>
      <c r="AB1679" s="4"/>
      <c r="AC1679" s="4"/>
      <c r="AD1679" s="4"/>
      <c r="AE1679" s="4"/>
      <c r="AF1679" s="4"/>
      <c r="AG1679" s="4"/>
      <c r="AH1679" s="4"/>
      <c r="AI1679" s="4"/>
      <c r="AJ1679" s="4"/>
      <c r="AK1679" s="4"/>
      <c r="AL1679" s="4"/>
      <c r="AM1679" s="4"/>
      <c r="AN1679" s="4"/>
      <c r="AO1679" s="4"/>
      <c r="AP1679" s="4"/>
      <c r="AQ1679" s="4"/>
      <c r="AR1679" s="4"/>
      <c r="AS1679" s="4"/>
      <c r="AT1679" s="4"/>
      <c r="AU1679" s="4"/>
      <c r="AV1679" s="4"/>
    </row>
    <row r="1680" spans="4:48" x14ac:dyDescent="0.3">
      <c r="D1680" s="5"/>
      <c r="E1680" s="5"/>
      <c r="F1680" s="20"/>
      <c r="G1680" s="20"/>
      <c r="H1680" s="5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4"/>
      <c r="T1680" s="4"/>
      <c r="U1680" s="4"/>
      <c r="V1680" s="4"/>
      <c r="W1680" s="4"/>
      <c r="X1680" s="4"/>
      <c r="Y1680" s="4"/>
      <c r="Z1680" s="4"/>
      <c r="AA1680" s="4"/>
      <c r="AB1680" s="4"/>
      <c r="AC1680" s="4"/>
      <c r="AD1680" s="4"/>
      <c r="AE1680" s="4"/>
      <c r="AF1680" s="4"/>
      <c r="AG1680" s="4"/>
      <c r="AH1680" s="4"/>
      <c r="AI1680" s="4"/>
      <c r="AJ1680" s="4"/>
      <c r="AK1680" s="4"/>
      <c r="AL1680" s="4"/>
      <c r="AM1680" s="4"/>
      <c r="AN1680" s="4"/>
      <c r="AO1680" s="4"/>
      <c r="AP1680" s="4"/>
      <c r="AQ1680" s="4"/>
      <c r="AR1680" s="4"/>
      <c r="AS1680" s="4"/>
      <c r="AT1680" s="4"/>
      <c r="AU1680" s="4"/>
      <c r="AV1680" s="4"/>
    </row>
    <row r="1681" spans="4:48" x14ac:dyDescent="0.3">
      <c r="D1681" s="5"/>
      <c r="E1681" s="5"/>
      <c r="F1681" s="20"/>
      <c r="G1681" s="20"/>
      <c r="H1681" s="5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4"/>
      <c r="T1681" s="4"/>
      <c r="U1681" s="4"/>
      <c r="V1681" s="4"/>
      <c r="W1681" s="4"/>
      <c r="X1681" s="4"/>
      <c r="Y1681" s="4"/>
      <c r="Z1681" s="4"/>
      <c r="AA1681" s="4"/>
      <c r="AB1681" s="4"/>
      <c r="AC1681" s="4"/>
      <c r="AD1681" s="4"/>
      <c r="AE1681" s="4"/>
      <c r="AF1681" s="4"/>
      <c r="AG1681" s="4"/>
      <c r="AH1681" s="4"/>
      <c r="AI1681" s="4"/>
      <c r="AJ1681" s="4"/>
      <c r="AK1681" s="4"/>
      <c r="AL1681" s="4"/>
      <c r="AM1681" s="4"/>
      <c r="AN1681" s="4"/>
      <c r="AO1681" s="4"/>
      <c r="AP1681" s="4"/>
      <c r="AQ1681" s="4"/>
      <c r="AR1681" s="4"/>
      <c r="AS1681" s="4"/>
      <c r="AT1681" s="4"/>
      <c r="AU1681" s="4"/>
      <c r="AV1681" s="4"/>
    </row>
    <row r="1682" spans="4:48" x14ac:dyDescent="0.3">
      <c r="D1682" s="5"/>
      <c r="E1682" s="5"/>
      <c r="F1682" s="20"/>
      <c r="G1682" s="20"/>
      <c r="H1682" s="5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4"/>
      <c r="T1682" s="4"/>
      <c r="U1682" s="4"/>
      <c r="V1682" s="4"/>
      <c r="W1682" s="4"/>
      <c r="X1682" s="4"/>
      <c r="Y1682" s="4"/>
      <c r="Z1682" s="4"/>
      <c r="AA1682" s="4"/>
      <c r="AB1682" s="4"/>
      <c r="AC1682" s="4"/>
      <c r="AD1682" s="4"/>
      <c r="AE1682" s="4"/>
      <c r="AF1682" s="4"/>
      <c r="AG1682" s="4"/>
      <c r="AH1682" s="4"/>
      <c r="AI1682" s="4"/>
      <c r="AJ1682" s="4"/>
      <c r="AK1682" s="4"/>
      <c r="AL1682" s="4"/>
      <c r="AM1682" s="4"/>
      <c r="AN1682" s="4"/>
      <c r="AO1682" s="4"/>
      <c r="AP1682" s="4"/>
      <c r="AQ1682" s="4"/>
      <c r="AR1682" s="4"/>
      <c r="AS1682" s="4"/>
      <c r="AT1682" s="4"/>
      <c r="AU1682" s="4"/>
      <c r="AV1682" s="4"/>
    </row>
    <row r="1683" spans="4:48" x14ac:dyDescent="0.3">
      <c r="D1683" s="5"/>
      <c r="E1683" s="5"/>
      <c r="F1683" s="20"/>
      <c r="G1683" s="20"/>
      <c r="H1683" s="5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4"/>
      <c r="T1683" s="4"/>
      <c r="U1683" s="4"/>
      <c r="V1683" s="4"/>
      <c r="W1683" s="4"/>
      <c r="X1683" s="4"/>
      <c r="Y1683" s="4"/>
      <c r="Z1683" s="4"/>
      <c r="AA1683" s="4"/>
      <c r="AB1683" s="4"/>
      <c r="AC1683" s="4"/>
      <c r="AD1683" s="4"/>
      <c r="AE1683" s="4"/>
      <c r="AF1683" s="4"/>
      <c r="AG1683" s="4"/>
      <c r="AH1683" s="4"/>
      <c r="AI1683" s="4"/>
      <c r="AJ1683" s="4"/>
      <c r="AK1683" s="4"/>
      <c r="AL1683" s="4"/>
      <c r="AM1683" s="4"/>
      <c r="AN1683" s="4"/>
      <c r="AO1683" s="4"/>
      <c r="AP1683" s="4"/>
      <c r="AQ1683" s="4"/>
      <c r="AR1683" s="4"/>
      <c r="AS1683" s="4"/>
      <c r="AT1683" s="4"/>
      <c r="AU1683" s="4"/>
      <c r="AV1683" s="4"/>
    </row>
    <row r="1684" spans="4:48" x14ac:dyDescent="0.3">
      <c r="D1684" s="5"/>
      <c r="E1684" s="5"/>
      <c r="F1684" s="20"/>
      <c r="G1684" s="20"/>
      <c r="H1684" s="5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4"/>
      <c r="T1684" s="4"/>
      <c r="U1684" s="4"/>
      <c r="V1684" s="4"/>
      <c r="W1684" s="4"/>
      <c r="X1684" s="4"/>
      <c r="Y1684" s="4"/>
      <c r="Z1684" s="4"/>
      <c r="AA1684" s="4"/>
      <c r="AB1684" s="4"/>
      <c r="AC1684" s="4"/>
      <c r="AD1684" s="4"/>
      <c r="AE1684" s="4"/>
      <c r="AF1684" s="4"/>
      <c r="AG1684" s="4"/>
      <c r="AH1684" s="4"/>
      <c r="AI1684" s="4"/>
      <c r="AJ1684" s="4"/>
      <c r="AK1684" s="4"/>
      <c r="AL1684" s="4"/>
      <c r="AM1684" s="4"/>
      <c r="AN1684" s="4"/>
      <c r="AO1684" s="4"/>
      <c r="AP1684" s="4"/>
      <c r="AQ1684" s="4"/>
      <c r="AR1684" s="4"/>
      <c r="AS1684" s="4"/>
      <c r="AT1684" s="4"/>
      <c r="AU1684" s="4"/>
      <c r="AV1684" s="4"/>
    </row>
    <row r="1685" spans="4:48" x14ac:dyDescent="0.3">
      <c r="D1685" s="5"/>
      <c r="E1685" s="5"/>
      <c r="F1685" s="20"/>
      <c r="G1685" s="20"/>
      <c r="H1685" s="5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4"/>
      <c r="T1685" s="4"/>
      <c r="U1685" s="4"/>
      <c r="V1685" s="4"/>
      <c r="W1685" s="4"/>
      <c r="X1685" s="4"/>
      <c r="Y1685" s="4"/>
      <c r="Z1685" s="4"/>
      <c r="AA1685" s="4"/>
      <c r="AB1685" s="4"/>
      <c r="AC1685" s="4"/>
      <c r="AD1685" s="4"/>
      <c r="AE1685" s="4"/>
      <c r="AF1685" s="4"/>
      <c r="AG1685" s="4"/>
      <c r="AH1685" s="4"/>
      <c r="AI1685" s="4"/>
      <c r="AJ1685" s="4"/>
      <c r="AK1685" s="4"/>
      <c r="AL1685" s="4"/>
      <c r="AM1685" s="4"/>
      <c r="AN1685" s="4"/>
      <c r="AO1685" s="4"/>
      <c r="AP1685" s="4"/>
      <c r="AQ1685" s="4"/>
      <c r="AR1685" s="4"/>
      <c r="AS1685" s="4"/>
      <c r="AT1685" s="4"/>
      <c r="AU1685" s="4"/>
      <c r="AV1685" s="4"/>
    </row>
    <row r="1686" spans="4:48" x14ac:dyDescent="0.3">
      <c r="D1686" s="5"/>
      <c r="E1686" s="5"/>
      <c r="F1686" s="20"/>
      <c r="G1686" s="20"/>
      <c r="H1686" s="5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4"/>
      <c r="T1686" s="4"/>
      <c r="U1686" s="4"/>
      <c r="V1686" s="4"/>
      <c r="W1686" s="4"/>
      <c r="X1686" s="4"/>
      <c r="Y1686" s="4"/>
      <c r="Z1686" s="4"/>
      <c r="AA1686" s="4"/>
      <c r="AB1686" s="4"/>
      <c r="AC1686" s="4"/>
      <c r="AD1686" s="4"/>
      <c r="AE1686" s="4"/>
      <c r="AF1686" s="4"/>
      <c r="AG1686" s="4"/>
      <c r="AH1686" s="4"/>
      <c r="AI1686" s="4"/>
      <c r="AJ1686" s="4"/>
      <c r="AK1686" s="4"/>
      <c r="AL1686" s="4"/>
      <c r="AM1686" s="4"/>
      <c r="AN1686" s="4"/>
      <c r="AO1686" s="4"/>
      <c r="AP1686" s="4"/>
      <c r="AQ1686" s="4"/>
      <c r="AR1686" s="4"/>
      <c r="AS1686" s="4"/>
      <c r="AT1686" s="4"/>
      <c r="AU1686" s="4"/>
      <c r="AV1686" s="4"/>
    </row>
    <row r="1687" spans="4:48" x14ac:dyDescent="0.3">
      <c r="D1687" s="5"/>
      <c r="E1687" s="5"/>
      <c r="F1687" s="20"/>
      <c r="G1687" s="20"/>
      <c r="H1687" s="5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4"/>
      <c r="T1687" s="4"/>
      <c r="U1687" s="4"/>
      <c r="V1687" s="4"/>
      <c r="W1687" s="4"/>
      <c r="X1687" s="4"/>
      <c r="Y1687" s="4"/>
      <c r="Z1687" s="4"/>
      <c r="AA1687" s="4"/>
      <c r="AB1687" s="4"/>
      <c r="AC1687" s="4"/>
      <c r="AD1687" s="4"/>
      <c r="AE1687" s="4"/>
      <c r="AF1687" s="4"/>
      <c r="AG1687" s="4"/>
      <c r="AH1687" s="4"/>
      <c r="AI1687" s="4"/>
      <c r="AJ1687" s="4"/>
      <c r="AK1687" s="4"/>
      <c r="AL1687" s="4"/>
      <c r="AM1687" s="4"/>
      <c r="AN1687" s="4"/>
      <c r="AO1687" s="4"/>
      <c r="AP1687" s="4"/>
      <c r="AQ1687" s="4"/>
      <c r="AR1687" s="4"/>
      <c r="AS1687" s="4"/>
      <c r="AT1687" s="4"/>
      <c r="AU1687" s="4"/>
      <c r="AV1687" s="4"/>
    </row>
    <row r="1688" spans="4:48" x14ac:dyDescent="0.3">
      <c r="D1688" s="5"/>
      <c r="E1688" s="5"/>
      <c r="F1688" s="20"/>
      <c r="G1688" s="20"/>
      <c r="H1688" s="5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4"/>
      <c r="T1688" s="4"/>
      <c r="U1688" s="4"/>
      <c r="V1688" s="4"/>
      <c r="W1688" s="4"/>
      <c r="X1688" s="4"/>
      <c r="Y1688" s="4"/>
      <c r="Z1688" s="4"/>
      <c r="AA1688" s="4"/>
      <c r="AB1688" s="4"/>
      <c r="AC1688" s="4"/>
      <c r="AD1688" s="4"/>
      <c r="AE1688" s="4"/>
      <c r="AF1688" s="4"/>
      <c r="AG1688" s="4"/>
      <c r="AH1688" s="4"/>
      <c r="AI1688" s="4"/>
      <c r="AJ1688" s="4"/>
      <c r="AK1688" s="4"/>
      <c r="AL1688" s="4"/>
      <c r="AM1688" s="4"/>
      <c r="AN1688" s="4"/>
      <c r="AO1688" s="4"/>
      <c r="AP1688" s="4"/>
      <c r="AQ1688" s="4"/>
      <c r="AR1688" s="4"/>
      <c r="AS1688" s="4"/>
      <c r="AT1688" s="4"/>
      <c r="AU1688" s="4"/>
      <c r="AV1688" s="4"/>
    </row>
    <row r="1689" spans="4:48" x14ac:dyDescent="0.3">
      <c r="D1689" s="5"/>
      <c r="E1689" s="5"/>
      <c r="F1689" s="20"/>
      <c r="G1689" s="20"/>
      <c r="H1689" s="5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4"/>
      <c r="T1689" s="4"/>
      <c r="U1689" s="4"/>
      <c r="V1689" s="4"/>
      <c r="W1689" s="4"/>
      <c r="X1689" s="4"/>
      <c r="Y1689" s="4"/>
      <c r="Z1689" s="4"/>
      <c r="AA1689" s="4"/>
      <c r="AB1689" s="4"/>
      <c r="AC1689" s="4"/>
      <c r="AD1689" s="4"/>
      <c r="AE1689" s="4"/>
      <c r="AF1689" s="4"/>
      <c r="AG1689" s="4"/>
      <c r="AH1689" s="4"/>
      <c r="AI1689" s="4"/>
      <c r="AJ1689" s="4"/>
      <c r="AK1689" s="4"/>
      <c r="AL1689" s="4"/>
      <c r="AM1689" s="4"/>
      <c r="AN1689" s="4"/>
      <c r="AO1689" s="4"/>
      <c r="AP1689" s="4"/>
      <c r="AQ1689" s="4"/>
      <c r="AR1689" s="4"/>
      <c r="AS1689" s="4"/>
      <c r="AT1689" s="4"/>
      <c r="AU1689" s="4"/>
      <c r="AV1689" s="4"/>
    </row>
    <row r="1690" spans="4:48" x14ac:dyDescent="0.3">
      <c r="D1690" s="5"/>
      <c r="E1690" s="5"/>
      <c r="F1690" s="20"/>
      <c r="G1690" s="20"/>
      <c r="H1690" s="5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4"/>
      <c r="T1690" s="4"/>
      <c r="U1690" s="4"/>
      <c r="V1690" s="4"/>
      <c r="W1690" s="4"/>
      <c r="X1690" s="4"/>
      <c r="Y1690" s="4"/>
      <c r="Z1690" s="4"/>
      <c r="AA1690" s="4"/>
      <c r="AB1690" s="4"/>
      <c r="AC1690" s="4"/>
      <c r="AD1690" s="4"/>
      <c r="AE1690" s="4"/>
      <c r="AF1690" s="4"/>
      <c r="AG1690" s="4"/>
      <c r="AH1690" s="4"/>
      <c r="AI1690" s="4"/>
      <c r="AJ1690" s="4"/>
      <c r="AK1690" s="4"/>
      <c r="AL1690" s="4"/>
      <c r="AM1690" s="4"/>
      <c r="AN1690" s="4"/>
      <c r="AO1690" s="4"/>
      <c r="AP1690" s="4"/>
      <c r="AQ1690" s="4"/>
      <c r="AR1690" s="4"/>
      <c r="AS1690" s="4"/>
      <c r="AT1690" s="4"/>
      <c r="AU1690" s="4"/>
      <c r="AV1690" s="4"/>
    </row>
    <row r="1691" spans="4:48" x14ac:dyDescent="0.3">
      <c r="D1691" s="5"/>
      <c r="E1691" s="5"/>
      <c r="F1691" s="20"/>
      <c r="G1691" s="20"/>
      <c r="H1691" s="5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4"/>
      <c r="T1691" s="4"/>
      <c r="U1691" s="4"/>
      <c r="V1691" s="4"/>
      <c r="W1691" s="4"/>
      <c r="X1691" s="4"/>
      <c r="Y1691" s="4"/>
      <c r="Z1691" s="4"/>
      <c r="AA1691" s="4"/>
      <c r="AB1691" s="4"/>
      <c r="AC1691" s="4"/>
      <c r="AD1691" s="4"/>
      <c r="AE1691" s="4"/>
      <c r="AF1691" s="4"/>
      <c r="AG1691" s="4"/>
      <c r="AH1691" s="4"/>
      <c r="AI1691" s="4"/>
      <c r="AJ1691" s="4"/>
      <c r="AK1691" s="4"/>
      <c r="AL1691" s="4"/>
      <c r="AM1691" s="4"/>
      <c r="AN1691" s="4"/>
      <c r="AO1691" s="4"/>
      <c r="AP1691" s="4"/>
      <c r="AQ1691" s="4"/>
      <c r="AR1691" s="4"/>
      <c r="AS1691" s="4"/>
      <c r="AT1691" s="4"/>
      <c r="AU1691" s="4"/>
      <c r="AV1691" s="4"/>
    </row>
    <row r="1692" spans="4:48" x14ac:dyDescent="0.3">
      <c r="D1692" s="5"/>
      <c r="E1692" s="5"/>
      <c r="F1692" s="20"/>
      <c r="G1692" s="20"/>
      <c r="H1692" s="5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4"/>
      <c r="T1692" s="4"/>
      <c r="U1692" s="4"/>
      <c r="V1692" s="4"/>
      <c r="W1692" s="4"/>
      <c r="X1692" s="4"/>
      <c r="Y1692" s="4"/>
      <c r="Z1692" s="4"/>
      <c r="AA1692" s="4"/>
      <c r="AB1692" s="4"/>
      <c r="AC1692" s="4"/>
      <c r="AD1692" s="4"/>
      <c r="AE1692" s="4"/>
      <c r="AF1692" s="4"/>
      <c r="AG1692" s="4"/>
      <c r="AH1692" s="4"/>
      <c r="AI1692" s="4"/>
      <c r="AJ1692" s="4"/>
      <c r="AK1692" s="4"/>
      <c r="AL1692" s="4"/>
      <c r="AM1692" s="4"/>
      <c r="AN1692" s="4"/>
      <c r="AO1692" s="4"/>
      <c r="AP1692" s="4"/>
      <c r="AQ1692" s="4"/>
      <c r="AR1692" s="4"/>
      <c r="AS1692" s="4"/>
      <c r="AT1692" s="4"/>
      <c r="AU1692" s="4"/>
      <c r="AV1692" s="4"/>
    </row>
    <row r="1693" spans="4:48" x14ac:dyDescent="0.3">
      <c r="D1693" s="5"/>
      <c r="E1693" s="5"/>
      <c r="F1693" s="20"/>
      <c r="G1693" s="20"/>
      <c r="H1693" s="5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4"/>
      <c r="T1693" s="4"/>
      <c r="U1693" s="4"/>
      <c r="V1693" s="4"/>
      <c r="W1693" s="4"/>
      <c r="X1693" s="4"/>
      <c r="Y1693" s="4"/>
      <c r="Z1693" s="4"/>
      <c r="AA1693" s="4"/>
      <c r="AB1693" s="4"/>
      <c r="AC1693" s="4"/>
      <c r="AD1693" s="4"/>
      <c r="AE1693" s="4"/>
      <c r="AF1693" s="4"/>
      <c r="AG1693" s="4"/>
      <c r="AH1693" s="4"/>
      <c r="AI1693" s="4"/>
      <c r="AJ1693" s="4"/>
      <c r="AK1693" s="4"/>
      <c r="AL1693" s="4"/>
      <c r="AM1693" s="4"/>
      <c r="AN1693" s="4"/>
      <c r="AO1693" s="4"/>
      <c r="AP1693" s="4"/>
      <c r="AQ1693" s="4"/>
      <c r="AR1693" s="4"/>
      <c r="AS1693" s="4"/>
      <c r="AT1693" s="4"/>
      <c r="AU1693" s="4"/>
      <c r="AV1693" s="4"/>
    </row>
    <row r="1694" spans="4:48" x14ac:dyDescent="0.3">
      <c r="D1694" s="5"/>
      <c r="E1694" s="5"/>
      <c r="F1694" s="20"/>
      <c r="G1694" s="20"/>
      <c r="H1694" s="5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4"/>
      <c r="T1694" s="4"/>
      <c r="U1694" s="4"/>
      <c r="V1694" s="4"/>
      <c r="W1694" s="4"/>
      <c r="X1694" s="4"/>
      <c r="Y1694" s="4"/>
      <c r="Z1694" s="4"/>
      <c r="AA1694" s="4"/>
      <c r="AB1694" s="4"/>
      <c r="AC1694" s="4"/>
      <c r="AD1694" s="4"/>
      <c r="AE1694" s="4"/>
      <c r="AF1694" s="4"/>
      <c r="AG1694" s="4"/>
      <c r="AH1694" s="4"/>
      <c r="AI1694" s="4"/>
      <c r="AJ1694" s="4"/>
      <c r="AK1694" s="4"/>
      <c r="AL1694" s="4"/>
      <c r="AM1694" s="4"/>
      <c r="AN1694" s="4"/>
      <c r="AO1694" s="4"/>
      <c r="AP1694" s="4"/>
      <c r="AQ1694" s="4"/>
      <c r="AR1694" s="4"/>
      <c r="AS1694" s="4"/>
      <c r="AT1694" s="4"/>
      <c r="AU1694" s="4"/>
      <c r="AV1694" s="4"/>
    </row>
    <row r="1695" spans="4:48" x14ac:dyDescent="0.3">
      <c r="D1695" s="5"/>
      <c r="E1695" s="5"/>
      <c r="F1695" s="20"/>
      <c r="G1695" s="20"/>
      <c r="H1695" s="5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4"/>
      <c r="T1695" s="4"/>
      <c r="U1695" s="4"/>
      <c r="V1695" s="4"/>
      <c r="W1695" s="4"/>
      <c r="X1695" s="4"/>
      <c r="Y1695" s="4"/>
      <c r="Z1695" s="4"/>
      <c r="AA1695" s="4"/>
      <c r="AB1695" s="4"/>
      <c r="AC1695" s="4"/>
      <c r="AD1695" s="4"/>
      <c r="AE1695" s="4"/>
      <c r="AF1695" s="4"/>
      <c r="AG1695" s="4"/>
      <c r="AH1695" s="4"/>
      <c r="AI1695" s="4"/>
      <c r="AJ1695" s="4"/>
      <c r="AK1695" s="4"/>
      <c r="AL1695" s="4"/>
      <c r="AM1695" s="4"/>
      <c r="AN1695" s="4"/>
      <c r="AO1695" s="4"/>
      <c r="AP1695" s="4"/>
      <c r="AQ1695" s="4"/>
      <c r="AR1695" s="4"/>
      <c r="AS1695" s="4"/>
      <c r="AT1695" s="4"/>
      <c r="AU1695" s="4"/>
      <c r="AV1695" s="4"/>
    </row>
    <row r="1696" spans="4:48" x14ac:dyDescent="0.3">
      <c r="D1696" s="5"/>
      <c r="E1696" s="5"/>
      <c r="F1696" s="20"/>
      <c r="G1696" s="20"/>
      <c r="H1696" s="5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4"/>
      <c r="T1696" s="4"/>
      <c r="U1696" s="4"/>
      <c r="V1696" s="4"/>
      <c r="W1696" s="4"/>
      <c r="X1696" s="4"/>
      <c r="Y1696" s="4"/>
      <c r="Z1696" s="4"/>
      <c r="AA1696" s="4"/>
      <c r="AB1696" s="4"/>
      <c r="AC1696" s="4"/>
      <c r="AD1696" s="4"/>
      <c r="AE1696" s="4"/>
      <c r="AF1696" s="4"/>
      <c r="AG1696" s="4"/>
      <c r="AH1696" s="4"/>
      <c r="AI1696" s="4"/>
      <c r="AJ1696" s="4"/>
      <c r="AK1696" s="4"/>
      <c r="AL1696" s="4"/>
      <c r="AM1696" s="4"/>
      <c r="AN1696" s="4"/>
      <c r="AO1696" s="4"/>
      <c r="AP1696" s="4"/>
      <c r="AQ1696" s="4"/>
      <c r="AR1696" s="4"/>
      <c r="AS1696" s="4"/>
      <c r="AT1696" s="4"/>
      <c r="AU1696" s="4"/>
      <c r="AV1696" s="4"/>
    </row>
    <row r="1697" spans="4:48" x14ac:dyDescent="0.3">
      <c r="D1697" s="5"/>
      <c r="E1697" s="5"/>
      <c r="F1697" s="20"/>
      <c r="G1697" s="20"/>
      <c r="H1697" s="5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4"/>
      <c r="T1697" s="4"/>
      <c r="U1697" s="4"/>
      <c r="V1697" s="4"/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  <c r="AG1697" s="4"/>
      <c r="AH1697" s="4"/>
      <c r="AI1697" s="4"/>
      <c r="AJ1697" s="4"/>
      <c r="AK1697" s="4"/>
      <c r="AL1697" s="4"/>
      <c r="AM1697" s="4"/>
      <c r="AN1697" s="4"/>
      <c r="AO1697" s="4"/>
      <c r="AP1697" s="4"/>
      <c r="AQ1697" s="4"/>
      <c r="AR1697" s="4"/>
      <c r="AS1697" s="4"/>
      <c r="AT1697" s="4"/>
      <c r="AU1697" s="4"/>
      <c r="AV1697" s="4"/>
    </row>
    <row r="1698" spans="4:48" x14ac:dyDescent="0.3">
      <c r="D1698" s="5"/>
      <c r="E1698" s="5"/>
      <c r="F1698" s="20"/>
      <c r="G1698" s="20"/>
      <c r="H1698" s="5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4"/>
      <c r="T1698" s="4"/>
      <c r="U1698" s="4"/>
      <c r="V1698" s="4"/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  <c r="AG1698" s="4"/>
      <c r="AH1698" s="4"/>
      <c r="AI1698" s="4"/>
      <c r="AJ1698" s="4"/>
      <c r="AK1698" s="4"/>
      <c r="AL1698" s="4"/>
      <c r="AM1698" s="4"/>
      <c r="AN1698" s="4"/>
      <c r="AO1698" s="4"/>
      <c r="AP1698" s="4"/>
      <c r="AQ1698" s="4"/>
      <c r="AR1698" s="4"/>
      <c r="AS1698" s="4"/>
      <c r="AT1698" s="4"/>
      <c r="AU1698" s="4"/>
      <c r="AV1698" s="4"/>
    </row>
    <row r="1699" spans="4:48" x14ac:dyDescent="0.3">
      <c r="D1699" s="5"/>
      <c r="E1699" s="5"/>
      <c r="F1699" s="20"/>
      <c r="G1699" s="20"/>
      <c r="H1699" s="5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4"/>
      <c r="T1699" s="4"/>
      <c r="U1699" s="4"/>
      <c r="V1699" s="4"/>
      <c r="W1699" s="4"/>
      <c r="X1699" s="4"/>
      <c r="Y1699" s="4"/>
      <c r="Z1699" s="4"/>
      <c r="AA1699" s="4"/>
      <c r="AB1699" s="4"/>
      <c r="AC1699" s="4"/>
      <c r="AD1699" s="4"/>
      <c r="AE1699" s="4"/>
      <c r="AF1699" s="4"/>
      <c r="AG1699" s="4"/>
      <c r="AH1699" s="4"/>
      <c r="AI1699" s="4"/>
      <c r="AJ1699" s="4"/>
      <c r="AK1699" s="4"/>
      <c r="AL1699" s="4"/>
      <c r="AM1699" s="4"/>
      <c r="AN1699" s="4"/>
      <c r="AO1699" s="4"/>
      <c r="AP1699" s="4"/>
      <c r="AQ1699" s="4"/>
      <c r="AR1699" s="4"/>
      <c r="AS1699" s="4"/>
      <c r="AT1699" s="4"/>
      <c r="AU1699" s="4"/>
      <c r="AV1699" s="4"/>
    </row>
    <row r="1700" spans="4:48" x14ac:dyDescent="0.3">
      <c r="D1700" s="5"/>
      <c r="E1700" s="5"/>
      <c r="F1700" s="20"/>
      <c r="G1700" s="20"/>
      <c r="H1700" s="5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4"/>
      <c r="T1700" s="4"/>
      <c r="U1700" s="4"/>
      <c r="V1700" s="4"/>
      <c r="W1700" s="4"/>
      <c r="X1700" s="4"/>
      <c r="Y1700" s="4"/>
      <c r="Z1700" s="4"/>
      <c r="AA1700" s="4"/>
      <c r="AB1700" s="4"/>
      <c r="AC1700" s="4"/>
      <c r="AD1700" s="4"/>
      <c r="AE1700" s="4"/>
      <c r="AF1700" s="4"/>
      <c r="AG1700" s="4"/>
      <c r="AH1700" s="4"/>
      <c r="AI1700" s="4"/>
      <c r="AJ1700" s="4"/>
      <c r="AK1700" s="4"/>
      <c r="AL1700" s="4"/>
      <c r="AM1700" s="4"/>
      <c r="AN1700" s="4"/>
      <c r="AO1700" s="4"/>
      <c r="AP1700" s="4"/>
      <c r="AQ1700" s="4"/>
      <c r="AR1700" s="4"/>
      <c r="AS1700" s="4"/>
      <c r="AT1700" s="4"/>
      <c r="AU1700" s="4"/>
      <c r="AV1700" s="4"/>
    </row>
    <row r="1701" spans="4:48" x14ac:dyDescent="0.3">
      <c r="D1701" s="5"/>
      <c r="E1701" s="5"/>
      <c r="F1701" s="20"/>
      <c r="G1701" s="20"/>
      <c r="H1701" s="5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4"/>
      <c r="T1701" s="4"/>
      <c r="U1701" s="4"/>
      <c r="V1701" s="4"/>
      <c r="W1701" s="4"/>
      <c r="X1701" s="4"/>
      <c r="Y1701" s="4"/>
      <c r="Z1701" s="4"/>
      <c r="AA1701" s="4"/>
      <c r="AB1701" s="4"/>
      <c r="AC1701" s="4"/>
      <c r="AD1701" s="4"/>
      <c r="AE1701" s="4"/>
      <c r="AF1701" s="4"/>
      <c r="AG1701" s="4"/>
      <c r="AH1701" s="4"/>
      <c r="AI1701" s="4"/>
      <c r="AJ1701" s="4"/>
      <c r="AK1701" s="4"/>
      <c r="AL1701" s="4"/>
      <c r="AM1701" s="4"/>
      <c r="AN1701" s="4"/>
      <c r="AO1701" s="4"/>
      <c r="AP1701" s="4"/>
      <c r="AQ1701" s="4"/>
      <c r="AR1701" s="4"/>
      <c r="AS1701" s="4"/>
      <c r="AT1701" s="4"/>
      <c r="AU1701" s="4"/>
      <c r="AV1701" s="4"/>
    </row>
    <row r="1702" spans="4:48" x14ac:dyDescent="0.3">
      <c r="D1702" s="5"/>
      <c r="E1702" s="5"/>
      <c r="F1702" s="20"/>
      <c r="G1702" s="20"/>
      <c r="H1702" s="5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4"/>
      <c r="T1702" s="4"/>
      <c r="U1702" s="4"/>
      <c r="V1702" s="4"/>
      <c r="W1702" s="4"/>
      <c r="X1702" s="4"/>
      <c r="Y1702" s="4"/>
      <c r="Z1702" s="4"/>
      <c r="AA1702" s="4"/>
      <c r="AB1702" s="4"/>
      <c r="AC1702" s="4"/>
      <c r="AD1702" s="4"/>
      <c r="AE1702" s="4"/>
      <c r="AF1702" s="4"/>
      <c r="AG1702" s="4"/>
      <c r="AH1702" s="4"/>
      <c r="AI1702" s="4"/>
      <c r="AJ1702" s="4"/>
      <c r="AK1702" s="4"/>
      <c r="AL1702" s="4"/>
      <c r="AM1702" s="4"/>
      <c r="AN1702" s="4"/>
      <c r="AO1702" s="4"/>
      <c r="AP1702" s="4"/>
      <c r="AQ1702" s="4"/>
      <c r="AR1702" s="4"/>
      <c r="AS1702" s="4"/>
      <c r="AT1702" s="4"/>
      <c r="AU1702" s="4"/>
      <c r="AV1702" s="4"/>
    </row>
    <row r="1703" spans="4:48" x14ac:dyDescent="0.3">
      <c r="D1703" s="5"/>
      <c r="E1703" s="5"/>
      <c r="F1703" s="20"/>
      <c r="G1703" s="20"/>
      <c r="H1703" s="5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4"/>
      <c r="T1703" s="4"/>
      <c r="U1703" s="4"/>
      <c r="V1703" s="4"/>
      <c r="W1703" s="4"/>
      <c r="X1703" s="4"/>
      <c r="Y1703" s="4"/>
      <c r="Z1703" s="4"/>
      <c r="AA1703" s="4"/>
      <c r="AB1703" s="4"/>
      <c r="AC1703" s="4"/>
      <c r="AD1703" s="4"/>
      <c r="AE1703" s="4"/>
      <c r="AF1703" s="4"/>
      <c r="AG1703" s="4"/>
      <c r="AH1703" s="4"/>
      <c r="AI1703" s="4"/>
      <c r="AJ1703" s="4"/>
      <c r="AK1703" s="4"/>
      <c r="AL1703" s="4"/>
      <c r="AM1703" s="4"/>
      <c r="AN1703" s="4"/>
      <c r="AO1703" s="4"/>
      <c r="AP1703" s="4"/>
      <c r="AQ1703" s="4"/>
      <c r="AR1703" s="4"/>
      <c r="AS1703" s="4"/>
      <c r="AT1703" s="4"/>
      <c r="AU1703" s="4"/>
      <c r="AV1703" s="4"/>
    </row>
    <row r="1704" spans="4:48" x14ac:dyDescent="0.3">
      <c r="D1704" s="5"/>
      <c r="E1704" s="5"/>
      <c r="F1704" s="20"/>
      <c r="G1704" s="20"/>
      <c r="H1704" s="5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4"/>
      <c r="T1704" s="4"/>
      <c r="U1704" s="4"/>
      <c r="V1704" s="4"/>
      <c r="W1704" s="4"/>
      <c r="X1704" s="4"/>
      <c r="Y1704" s="4"/>
      <c r="Z1704" s="4"/>
      <c r="AA1704" s="4"/>
      <c r="AB1704" s="4"/>
      <c r="AC1704" s="4"/>
      <c r="AD1704" s="4"/>
      <c r="AE1704" s="4"/>
      <c r="AF1704" s="4"/>
      <c r="AG1704" s="4"/>
      <c r="AH1704" s="4"/>
      <c r="AI1704" s="4"/>
      <c r="AJ1704" s="4"/>
      <c r="AK1704" s="4"/>
      <c r="AL1704" s="4"/>
      <c r="AM1704" s="4"/>
      <c r="AN1704" s="4"/>
      <c r="AO1704" s="4"/>
      <c r="AP1704" s="4"/>
      <c r="AQ1704" s="4"/>
      <c r="AR1704" s="4"/>
      <c r="AS1704" s="4"/>
      <c r="AT1704" s="4"/>
      <c r="AU1704" s="4"/>
      <c r="AV1704" s="4"/>
    </row>
    <row r="1705" spans="4:48" x14ac:dyDescent="0.3">
      <c r="D1705" s="5"/>
      <c r="E1705" s="5"/>
      <c r="F1705" s="20"/>
      <c r="G1705" s="20"/>
      <c r="H1705" s="5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4"/>
      <c r="T1705" s="4"/>
      <c r="U1705" s="4"/>
      <c r="V1705" s="4"/>
      <c r="W1705" s="4"/>
      <c r="X1705" s="4"/>
      <c r="Y1705" s="4"/>
      <c r="Z1705" s="4"/>
      <c r="AA1705" s="4"/>
      <c r="AB1705" s="4"/>
      <c r="AC1705" s="4"/>
      <c r="AD1705" s="4"/>
      <c r="AE1705" s="4"/>
      <c r="AF1705" s="4"/>
      <c r="AG1705" s="4"/>
      <c r="AH1705" s="4"/>
      <c r="AI1705" s="4"/>
      <c r="AJ1705" s="4"/>
      <c r="AK1705" s="4"/>
      <c r="AL1705" s="4"/>
      <c r="AM1705" s="4"/>
      <c r="AN1705" s="4"/>
      <c r="AO1705" s="4"/>
      <c r="AP1705" s="4"/>
      <c r="AQ1705" s="4"/>
      <c r="AR1705" s="4"/>
      <c r="AS1705" s="4"/>
      <c r="AT1705" s="4"/>
      <c r="AU1705" s="4"/>
      <c r="AV1705" s="4"/>
    </row>
    <row r="1706" spans="4:48" x14ac:dyDescent="0.3">
      <c r="D1706" s="5"/>
      <c r="E1706" s="5"/>
      <c r="F1706" s="20"/>
      <c r="G1706" s="20"/>
      <c r="H1706" s="5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4"/>
      <c r="T1706" s="4"/>
      <c r="U1706" s="4"/>
      <c r="V1706" s="4"/>
      <c r="W1706" s="4"/>
      <c r="X1706" s="4"/>
      <c r="Y1706" s="4"/>
      <c r="Z1706" s="4"/>
      <c r="AA1706" s="4"/>
      <c r="AB1706" s="4"/>
      <c r="AC1706" s="4"/>
      <c r="AD1706" s="4"/>
      <c r="AE1706" s="4"/>
      <c r="AF1706" s="4"/>
      <c r="AG1706" s="4"/>
      <c r="AH1706" s="4"/>
      <c r="AI1706" s="4"/>
      <c r="AJ1706" s="4"/>
      <c r="AK1706" s="4"/>
      <c r="AL1706" s="4"/>
      <c r="AM1706" s="4"/>
      <c r="AN1706" s="4"/>
      <c r="AO1706" s="4"/>
      <c r="AP1706" s="4"/>
      <c r="AQ1706" s="4"/>
      <c r="AR1706" s="4"/>
      <c r="AS1706" s="4"/>
      <c r="AT1706" s="4"/>
      <c r="AU1706" s="4"/>
      <c r="AV1706" s="4"/>
    </row>
    <row r="1707" spans="4:48" x14ac:dyDescent="0.3">
      <c r="D1707" s="5"/>
      <c r="E1707" s="5"/>
      <c r="F1707" s="20"/>
      <c r="G1707" s="20"/>
      <c r="H1707" s="5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4"/>
      <c r="T1707" s="4"/>
      <c r="U1707" s="4"/>
      <c r="V1707" s="4"/>
      <c r="W1707" s="4"/>
      <c r="X1707" s="4"/>
      <c r="Y1707" s="4"/>
      <c r="Z1707" s="4"/>
      <c r="AA1707" s="4"/>
      <c r="AB1707" s="4"/>
      <c r="AC1707" s="4"/>
      <c r="AD1707" s="4"/>
      <c r="AE1707" s="4"/>
      <c r="AF1707" s="4"/>
      <c r="AG1707" s="4"/>
      <c r="AH1707" s="4"/>
      <c r="AI1707" s="4"/>
      <c r="AJ1707" s="4"/>
      <c r="AK1707" s="4"/>
      <c r="AL1707" s="4"/>
      <c r="AM1707" s="4"/>
      <c r="AN1707" s="4"/>
      <c r="AO1707" s="4"/>
      <c r="AP1707" s="4"/>
      <c r="AQ1707" s="4"/>
      <c r="AR1707" s="4"/>
      <c r="AS1707" s="4"/>
      <c r="AT1707" s="4"/>
      <c r="AU1707" s="4"/>
      <c r="AV1707" s="4"/>
    </row>
    <row r="1708" spans="4:48" x14ac:dyDescent="0.3">
      <c r="D1708" s="5"/>
      <c r="E1708" s="5"/>
      <c r="F1708" s="20"/>
      <c r="G1708" s="20"/>
      <c r="H1708" s="5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4"/>
      <c r="T1708" s="4"/>
      <c r="U1708" s="4"/>
      <c r="V1708" s="4"/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  <c r="AG1708" s="4"/>
      <c r="AH1708" s="4"/>
      <c r="AI1708" s="4"/>
      <c r="AJ1708" s="4"/>
      <c r="AK1708" s="4"/>
      <c r="AL1708" s="4"/>
      <c r="AM1708" s="4"/>
      <c r="AN1708" s="4"/>
      <c r="AO1708" s="4"/>
      <c r="AP1708" s="4"/>
      <c r="AQ1708" s="4"/>
      <c r="AR1708" s="4"/>
      <c r="AS1708" s="4"/>
      <c r="AT1708" s="4"/>
      <c r="AU1708" s="4"/>
      <c r="AV1708" s="4"/>
    </row>
    <row r="1709" spans="4:48" x14ac:dyDescent="0.3">
      <c r="D1709" s="5"/>
      <c r="E1709" s="5"/>
      <c r="F1709" s="20"/>
      <c r="G1709" s="20"/>
      <c r="H1709" s="5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4"/>
      <c r="T1709" s="4"/>
      <c r="U1709" s="4"/>
      <c r="V1709" s="4"/>
      <c r="W1709" s="4"/>
      <c r="X1709" s="4"/>
      <c r="Y1709" s="4"/>
      <c r="Z1709" s="4"/>
      <c r="AA1709" s="4"/>
      <c r="AB1709" s="4"/>
      <c r="AC1709" s="4"/>
      <c r="AD1709" s="4"/>
      <c r="AE1709" s="4"/>
      <c r="AF1709" s="4"/>
      <c r="AG1709" s="4"/>
      <c r="AH1709" s="4"/>
      <c r="AI1709" s="4"/>
      <c r="AJ1709" s="4"/>
      <c r="AK1709" s="4"/>
      <c r="AL1709" s="4"/>
      <c r="AM1709" s="4"/>
      <c r="AN1709" s="4"/>
      <c r="AO1709" s="4"/>
      <c r="AP1709" s="4"/>
      <c r="AQ1709" s="4"/>
      <c r="AR1709" s="4"/>
      <c r="AS1709" s="4"/>
      <c r="AT1709" s="4"/>
      <c r="AU1709" s="4"/>
      <c r="AV1709" s="4"/>
    </row>
    <row r="1710" spans="4:48" x14ac:dyDescent="0.3">
      <c r="D1710" s="5"/>
      <c r="E1710" s="5"/>
      <c r="F1710" s="20"/>
      <c r="G1710" s="20"/>
      <c r="H1710" s="5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4"/>
      <c r="T1710" s="4"/>
      <c r="U1710" s="4"/>
      <c r="V1710" s="4"/>
      <c r="W1710" s="4"/>
      <c r="X1710" s="4"/>
      <c r="Y1710" s="4"/>
      <c r="Z1710" s="4"/>
      <c r="AA1710" s="4"/>
      <c r="AB1710" s="4"/>
      <c r="AC1710" s="4"/>
      <c r="AD1710" s="4"/>
      <c r="AE1710" s="4"/>
      <c r="AF1710" s="4"/>
      <c r="AG1710" s="4"/>
      <c r="AH1710" s="4"/>
      <c r="AI1710" s="4"/>
      <c r="AJ1710" s="4"/>
      <c r="AK1710" s="4"/>
      <c r="AL1710" s="4"/>
      <c r="AM1710" s="4"/>
      <c r="AN1710" s="4"/>
      <c r="AO1710" s="4"/>
      <c r="AP1710" s="4"/>
      <c r="AQ1710" s="4"/>
      <c r="AR1710" s="4"/>
      <c r="AS1710" s="4"/>
      <c r="AT1710" s="4"/>
      <c r="AU1710" s="4"/>
      <c r="AV1710" s="4"/>
    </row>
    <row r="1711" spans="4:48" x14ac:dyDescent="0.3">
      <c r="D1711" s="5"/>
      <c r="E1711" s="5"/>
      <c r="F1711" s="20"/>
      <c r="G1711" s="20"/>
      <c r="H1711" s="5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4"/>
      <c r="T1711" s="4"/>
      <c r="U1711" s="4"/>
      <c r="V1711" s="4"/>
      <c r="W1711" s="4"/>
      <c r="X1711" s="4"/>
      <c r="Y1711" s="4"/>
      <c r="Z1711" s="4"/>
      <c r="AA1711" s="4"/>
      <c r="AB1711" s="4"/>
      <c r="AC1711" s="4"/>
      <c r="AD1711" s="4"/>
      <c r="AE1711" s="4"/>
      <c r="AF1711" s="4"/>
      <c r="AG1711" s="4"/>
      <c r="AH1711" s="4"/>
      <c r="AI1711" s="4"/>
      <c r="AJ1711" s="4"/>
      <c r="AK1711" s="4"/>
      <c r="AL1711" s="4"/>
      <c r="AM1711" s="4"/>
      <c r="AN1711" s="4"/>
      <c r="AO1711" s="4"/>
      <c r="AP1711" s="4"/>
      <c r="AQ1711" s="4"/>
      <c r="AR1711" s="4"/>
      <c r="AS1711" s="4"/>
      <c r="AT1711" s="4"/>
      <c r="AU1711" s="4"/>
      <c r="AV1711" s="4"/>
    </row>
    <row r="1712" spans="4:48" x14ac:dyDescent="0.3">
      <c r="D1712" s="5"/>
      <c r="E1712" s="5"/>
      <c r="F1712" s="20"/>
      <c r="G1712" s="20"/>
      <c r="H1712" s="5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4"/>
      <c r="T1712" s="4"/>
      <c r="U1712" s="4"/>
      <c r="V1712" s="4"/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  <c r="AG1712" s="4"/>
      <c r="AH1712" s="4"/>
      <c r="AI1712" s="4"/>
      <c r="AJ1712" s="4"/>
      <c r="AK1712" s="4"/>
      <c r="AL1712" s="4"/>
      <c r="AM1712" s="4"/>
      <c r="AN1712" s="4"/>
      <c r="AO1712" s="4"/>
      <c r="AP1712" s="4"/>
      <c r="AQ1712" s="4"/>
      <c r="AR1712" s="4"/>
      <c r="AS1712" s="4"/>
      <c r="AT1712" s="4"/>
      <c r="AU1712" s="4"/>
      <c r="AV1712" s="4"/>
    </row>
    <row r="1713" spans="4:48" x14ac:dyDescent="0.3">
      <c r="D1713" s="5"/>
      <c r="E1713" s="5"/>
      <c r="F1713" s="20"/>
      <c r="G1713" s="20"/>
      <c r="H1713" s="5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4"/>
      <c r="T1713" s="4"/>
      <c r="U1713" s="4"/>
      <c r="V1713" s="4"/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  <c r="AG1713" s="4"/>
      <c r="AH1713" s="4"/>
      <c r="AI1713" s="4"/>
      <c r="AJ1713" s="4"/>
      <c r="AK1713" s="4"/>
      <c r="AL1713" s="4"/>
      <c r="AM1713" s="4"/>
      <c r="AN1713" s="4"/>
      <c r="AO1713" s="4"/>
      <c r="AP1713" s="4"/>
      <c r="AQ1713" s="4"/>
      <c r="AR1713" s="4"/>
      <c r="AS1713" s="4"/>
      <c r="AT1713" s="4"/>
      <c r="AU1713" s="4"/>
      <c r="AV1713" s="4"/>
    </row>
    <row r="1714" spans="4:48" x14ac:dyDescent="0.3">
      <c r="D1714" s="5"/>
      <c r="E1714" s="5"/>
      <c r="F1714" s="20"/>
      <c r="G1714" s="20"/>
      <c r="H1714" s="5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4"/>
      <c r="T1714" s="4"/>
      <c r="U1714" s="4"/>
      <c r="V1714" s="4"/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  <c r="AG1714" s="4"/>
      <c r="AH1714" s="4"/>
      <c r="AI1714" s="4"/>
      <c r="AJ1714" s="4"/>
      <c r="AK1714" s="4"/>
      <c r="AL1714" s="4"/>
      <c r="AM1714" s="4"/>
      <c r="AN1714" s="4"/>
      <c r="AO1714" s="4"/>
      <c r="AP1714" s="4"/>
      <c r="AQ1714" s="4"/>
      <c r="AR1714" s="4"/>
      <c r="AS1714" s="4"/>
      <c r="AT1714" s="4"/>
      <c r="AU1714" s="4"/>
      <c r="AV1714" s="4"/>
    </row>
    <row r="1715" spans="4:48" x14ac:dyDescent="0.3">
      <c r="D1715" s="5"/>
      <c r="E1715" s="5"/>
      <c r="F1715" s="20"/>
      <c r="G1715" s="20"/>
      <c r="H1715" s="5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4"/>
      <c r="T1715" s="4"/>
      <c r="U1715" s="4"/>
      <c r="V1715" s="4"/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  <c r="AG1715" s="4"/>
      <c r="AH1715" s="4"/>
      <c r="AI1715" s="4"/>
      <c r="AJ1715" s="4"/>
      <c r="AK1715" s="4"/>
      <c r="AL1715" s="4"/>
      <c r="AM1715" s="4"/>
      <c r="AN1715" s="4"/>
      <c r="AO1715" s="4"/>
      <c r="AP1715" s="4"/>
      <c r="AQ1715" s="4"/>
      <c r="AR1715" s="4"/>
      <c r="AS1715" s="4"/>
      <c r="AT1715" s="4"/>
      <c r="AU1715" s="4"/>
      <c r="AV1715" s="4"/>
    </row>
    <row r="1716" spans="4:48" x14ac:dyDescent="0.3">
      <c r="D1716" s="5"/>
      <c r="E1716" s="5"/>
      <c r="F1716" s="20"/>
      <c r="G1716" s="20"/>
      <c r="H1716" s="5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4"/>
      <c r="T1716" s="4"/>
      <c r="U1716" s="4"/>
      <c r="V1716" s="4"/>
      <c r="W1716" s="4"/>
      <c r="X1716" s="4"/>
      <c r="Y1716" s="4"/>
      <c r="Z1716" s="4"/>
      <c r="AA1716" s="4"/>
      <c r="AB1716" s="4"/>
      <c r="AC1716" s="4"/>
      <c r="AD1716" s="4"/>
      <c r="AE1716" s="4"/>
      <c r="AF1716" s="4"/>
      <c r="AG1716" s="4"/>
      <c r="AH1716" s="4"/>
      <c r="AI1716" s="4"/>
      <c r="AJ1716" s="4"/>
      <c r="AK1716" s="4"/>
      <c r="AL1716" s="4"/>
      <c r="AM1716" s="4"/>
      <c r="AN1716" s="4"/>
      <c r="AO1716" s="4"/>
      <c r="AP1716" s="4"/>
      <c r="AQ1716" s="4"/>
      <c r="AR1716" s="4"/>
      <c r="AS1716" s="4"/>
      <c r="AT1716" s="4"/>
      <c r="AU1716" s="4"/>
      <c r="AV1716" s="4"/>
    </row>
    <row r="1717" spans="4:48" x14ac:dyDescent="0.3">
      <c r="D1717" s="5"/>
      <c r="E1717" s="5"/>
      <c r="F1717" s="20"/>
      <c r="G1717" s="20"/>
      <c r="H1717" s="5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4"/>
      <c r="T1717" s="4"/>
      <c r="U1717" s="4"/>
      <c r="V1717" s="4"/>
      <c r="W1717" s="4"/>
      <c r="X1717" s="4"/>
      <c r="Y1717" s="4"/>
      <c r="Z1717" s="4"/>
      <c r="AA1717" s="4"/>
      <c r="AB1717" s="4"/>
      <c r="AC1717" s="4"/>
      <c r="AD1717" s="4"/>
      <c r="AE1717" s="4"/>
      <c r="AF1717" s="4"/>
      <c r="AG1717" s="4"/>
      <c r="AH1717" s="4"/>
      <c r="AI1717" s="4"/>
      <c r="AJ1717" s="4"/>
      <c r="AK1717" s="4"/>
      <c r="AL1717" s="4"/>
      <c r="AM1717" s="4"/>
      <c r="AN1717" s="4"/>
      <c r="AO1717" s="4"/>
      <c r="AP1717" s="4"/>
      <c r="AQ1717" s="4"/>
      <c r="AR1717" s="4"/>
      <c r="AS1717" s="4"/>
      <c r="AT1717" s="4"/>
      <c r="AU1717" s="4"/>
      <c r="AV1717" s="4"/>
    </row>
    <row r="1718" spans="4:48" x14ac:dyDescent="0.3">
      <c r="D1718" s="5"/>
      <c r="E1718" s="5"/>
      <c r="F1718" s="20"/>
      <c r="G1718" s="20"/>
      <c r="H1718" s="5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4"/>
      <c r="T1718" s="4"/>
      <c r="U1718" s="4"/>
      <c r="V1718" s="4"/>
      <c r="W1718" s="4"/>
      <c r="X1718" s="4"/>
      <c r="Y1718" s="4"/>
      <c r="Z1718" s="4"/>
      <c r="AA1718" s="4"/>
      <c r="AB1718" s="4"/>
      <c r="AC1718" s="4"/>
      <c r="AD1718" s="4"/>
      <c r="AE1718" s="4"/>
      <c r="AF1718" s="4"/>
      <c r="AG1718" s="4"/>
      <c r="AH1718" s="4"/>
      <c r="AI1718" s="4"/>
      <c r="AJ1718" s="4"/>
      <c r="AK1718" s="4"/>
      <c r="AL1718" s="4"/>
      <c r="AM1718" s="4"/>
      <c r="AN1718" s="4"/>
      <c r="AO1718" s="4"/>
      <c r="AP1718" s="4"/>
      <c r="AQ1718" s="4"/>
      <c r="AR1718" s="4"/>
      <c r="AS1718" s="4"/>
      <c r="AT1718" s="4"/>
      <c r="AU1718" s="4"/>
      <c r="AV1718" s="4"/>
    </row>
    <row r="1719" spans="4:48" x14ac:dyDescent="0.3">
      <c r="D1719" s="5"/>
      <c r="E1719" s="5"/>
      <c r="F1719" s="20"/>
      <c r="G1719" s="20"/>
      <c r="H1719" s="5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4"/>
      <c r="T1719" s="4"/>
      <c r="U1719" s="4"/>
      <c r="V1719" s="4"/>
      <c r="W1719" s="4"/>
      <c r="X1719" s="4"/>
      <c r="Y1719" s="4"/>
      <c r="Z1719" s="4"/>
      <c r="AA1719" s="4"/>
      <c r="AB1719" s="4"/>
      <c r="AC1719" s="4"/>
      <c r="AD1719" s="4"/>
      <c r="AE1719" s="4"/>
      <c r="AF1719" s="4"/>
      <c r="AG1719" s="4"/>
      <c r="AH1719" s="4"/>
      <c r="AI1719" s="4"/>
      <c r="AJ1719" s="4"/>
      <c r="AK1719" s="4"/>
      <c r="AL1719" s="4"/>
      <c r="AM1719" s="4"/>
      <c r="AN1719" s="4"/>
      <c r="AO1719" s="4"/>
      <c r="AP1719" s="4"/>
      <c r="AQ1719" s="4"/>
      <c r="AR1719" s="4"/>
      <c r="AS1719" s="4"/>
      <c r="AT1719" s="4"/>
      <c r="AU1719" s="4"/>
      <c r="AV1719" s="4"/>
    </row>
    <row r="1720" spans="4:48" x14ac:dyDescent="0.3">
      <c r="D1720" s="5"/>
      <c r="E1720" s="5"/>
      <c r="F1720" s="20"/>
      <c r="G1720" s="20"/>
      <c r="H1720" s="5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4"/>
      <c r="T1720" s="4"/>
      <c r="U1720" s="4"/>
      <c r="V1720" s="4"/>
      <c r="W1720" s="4"/>
      <c r="X1720" s="4"/>
      <c r="Y1720" s="4"/>
      <c r="Z1720" s="4"/>
      <c r="AA1720" s="4"/>
      <c r="AB1720" s="4"/>
      <c r="AC1720" s="4"/>
      <c r="AD1720" s="4"/>
      <c r="AE1720" s="4"/>
      <c r="AF1720" s="4"/>
      <c r="AG1720" s="4"/>
      <c r="AH1720" s="4"/>
      <c r="AI1720" s="4"/>
      <c r="AJ1720" s="4"/>
      <c r="AK1720" s="4"/>
      <c r="AL1720" s="4"/>
      <c r="AM1720" s="4"/>
      <c r="AN1720" s="4"/>
      <c r="AO1720" s="4"/>
      <c r="AP1720" s="4"/>
      <c r="AQ1720" s="4"/>
      <c r="AR1720" s="4"/>
      <c r="AS1720" s="4"/>
      <c r="AT1720" s="4"/>
      <c r="AU1720" s="4"/>
      <c r="AV1720" s="4"/>
    </row>
    <row r="1721" spans="4:48" x14ac:dyDescent="0.3">
      <c r="D1721" s="5"/>
      <c r="E1721" s="5"/>
      <c r="F1721" s="20"/>
      <c r="G1721" s="20"/>
      <c r="H1721" s="5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4"/>
      <c r="T1721" s="4"/>
      <c r="U1721" s="4"/>
      <c r="V1721" s="4"/>
      <c r="W1721" s="4"/>
      <c r="X1721" s="4"/>
      <c r="Y1721" s="4"/>
      <c r="Z1721" s="4"/>
      <c r="AA1721" s="4"/>
      <c r="AB1721" s="4"/>
      <c r="AC1721" s="4"/>
      <c r="AD1721" s="4"/>
      <c r="AE1721" s="4"/>
      <c r="AF1721" s="4"/>
      <c r="AG1721" s="4"/>
      <c r="AH1721" s="4"/>
      <c r="AI1721" s="4"/>
      <c r="AJ1721" s="4"/>
      <c r="AK1721" s="4"/>
      <c r="AL1721" s="4"/>
      <c r="AM1721" s="4"/>
      <c r="AN1721" s="4"/>
      <c r="AO1721" s="4"/>
      <c r="AP1721" s="4"/>
      <c r="AQ1721" s="4"/>
      <c r="AR1721" s="4"/>
      <c r="AS1721" s="4"/>
      <c r="AT1721" s="4"/>
      <c r="AU1721" s="4"/>
      <c r="AV1721" s="4"/>
    </row>
    <row r="1722" spans="4:48" x14ac:dyDescent="0.3">
      <c r="D1722" s="5"/>
      <c r="E1722" s="5"/>
      <c r="F1722" s="20"/>
      <c r="G1722" s="20"/>
      <c r="H1722" s="5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4"/>
      <c r="T1722" s="4"/>
      <c r="U1722" s="4"/>
      <c r="V1722" s="4"/>
      <c r="W1722" s="4"/>
      <c r="X1722" s="4"/>
      <c r="Y1722" s="4"/>
      <c r="Z1722" s="4"/>
      <c r="AA1722" s="4"/>
      <c r="AB1722" s="4"/>
      <c r="AC1722" s="4"/>
      <c r="AD1722" s="4"/>
      <c r="AE1722" s="4"/>
      <c r="AF1722" s="4"/>
      <c r="AG1722" s="4"/>
      <c r="AH1722" s="4"/>
      <c r="AI1722" s="4"/>
      <c r="AJ1722" s="4"/>
      <c r="AK1722" s="4"/>
      <c r="AL1722" s="4"/>
      <c r="AM1722" s="4"/>
      <c r="AN1722" s="4"/>
      <c r="AO1722" s="4"/>
      <c r="AP1722" s="4"/>
      <c r="AQ1722" s="4"/>
      <c r="AR1722" s="4"/>
      <c r="AS1722" s="4"/>
      <c r="AT1722" s="4"/>
      <c r="AU1722" s="4"/>
      <c r="AV1722" s="4"/>
    </row>
    <row r="1723" spans="4:48" x14ac:dyDescent="0.3">
      <c r="D1723" s="5"/>
      <c r="E1723" s="5"/>
      <c r="F1723" s="20"/>
      <c r="G1723" s="20"/>
      <c r="H1723" s="5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4"/>
      <c r="T1723" s="4"/>
      <c r="U1723" s="4"/>
      <c r="V1723" s="4"/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  <c r="AG1723" s="4"/>
      <c r="AH1723" s="4"/>
      <c r="AI1723" s="4"/>
      <c r="AJ1723" s="4"/>
      <c r="AK1723" s="4"/>
      <c r="AL1723" s="4"/>
      <c r="AM1723" s="4"/>
      <c r="AN1723" s="4"/>
      <c r="AO1723" s="4"/>
      <c r="AP1723" s="4"/>
      <c r="AQ1723" s="4"/>
      <c r="AR1723" s="4"/>
      <c r="AS1723" s="4"/>
      <c r="AT1723" s="4"/>
      <c r="AU1723" s="4"/>
      <c r="AV1723" s="4"/>
    </row>
    <row r="1724" spans="4:48" x14ac:dyDescent="0.3">
      <c r="D1724" s="5"/>
      <c r="E1724" s="5"/>
      <c r="F1724" s="20"/>
      <c r="G1724" s="20"/>
      <c r="H1724" s="5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4"/>
      <c r="T1724" s="4"/>
      <c r="U1724" s="4"/>
      <c r="V1724" s="4"/>
      <c r="W1724" s="4"/>
      <c r="X1724" s="4"/>
      <c r="Y1724" s="4"/>
      <c r="Z1724" s="4"/>
      <c r="AA1724" s="4"/>
      <c r="AB1724" s="4"/>
      <c r="AC1724" s="4"/>
      <c r="AD1724" s="4"/>
      <c r="AE1724" s="4"/>
      <c r="AF1724" s="4"/>
      <c r="AG1724" s="4"/>
      <c r="AH1724" s="4"/>
      <c r="AI1724" s="4"/>
      <c r="AJ1724" s="4"/>
      <c r="AK1724" s="4"/>
      <c r="AL1724" s="4"/>
      <c r="AM1724" s="4"/>
      <c r="AN1724" s="4"/>
      <c r="AO1724" s="4"/>
      <c r="AP1724" s="4"/>
      <c r="AQ1724" s="4"/>
      <c r="AR1724" s="4"/>
      <c r="AS1724" s="4"/>
      <c r="AT1724" s="4"/>
      <c r="AU1724" s="4"/>
      <c r="AV1724" s="4"/>
    </row>
    <row r="1725" spans="4:48" x14ac:dyDescent="0.3">
      <c r="D1725" s="5"/>
      <c r="E1725" s="5"/>
      <c r="F1725" s="20"/>
      <c r="G1725" s="20"/>
      <c r="H1725" s="5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4"/>
      <c r="T1725" s="4"/>
      <c r="U1725" s="4"/>
      <c r="V1725" s="4"/>
      <c r="W1725" s="4"/>
      <c r="X1725" s="4"/>
      <c r="Y1725" s="4"/>
      <c r="Z1725" s="4"/>
      <c r="AA1725" s="4"/>
      <c r="AB1725" s="4"/>
      <c r="AC1725" s="4"/>
      <c r="AD1725" s="4"/>
      <c r="AE1725" s="4"/>
      <c r="AF1725" s="4"/>
      <c r="AG1725" s="4"/>
      <c r="AH1725" s="4"/>
      <c r="AI1725" s="4"/>
      <c r="AJ1725" s="4"/>
      <c r="AK1725" s="4"/>
      <c r="AL1725" s="4"/>
      <c r="AM1725" s="4"/>
      <c r="AN1725" s="4"/>
      <c r="AO1725" s="4"/>
      <c r="AP1725" s="4"/>
      <c r="AQ1725" s="4"/>
      <c r="AR1725" s="4"/>
      <c r="AS1725" s="4"/>
      <c r="AT1725" s="4"/>
      <c r="AU1725" s="4"/>
      <c r="AV1725" s="4"/>
    </row>
    <row r="1726" spans="4:48" x14ac:dyDescent="0.3">
      <c r="D1726" s="5"/>
      <c r="E1726" s="5"/>
      <c r="F1726" s="20"/>
      <c r="G1726" s="20"/>
      <c r="H1726" s="5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4"/>
      <c r="T1726" s="4"/>
      <c r="U1726" s="4"/>
      <c r="V1726" s="4"/>
      <c r="W1726" s="4"/>
      <c r="X1726" s="4"/>
      <c r="Y1726" s="4"/>
      <c r="Z1726" s="4"/>
      <c r="AA1726" s="4"/>
      <c r="AB1726" s="4"/>
      <c r="AC1726" s="4"/>
      <c r="AD1726" s="4"/>
      <c r="AE1726" s="4"/>
      <c r="AF1726" s="4"/>
      <c r="AG1726" s="4"/>
      <c r="AH1726" s="4"/>
      <c r="AI1726" s="4"/>
      <c r="AJ1726" s="4"/>
      <c r="AK1726" s="4"/>
      <c r="AL1726" s="4"/>
      <c r="AM1726" s="4"/>
      <c r="AN1726" s="4"/>
      <c r="AO1726" s="4"/>
      <c r="AP1726" s="4"/>
      <c r="AQ1726" s="4"/>
      <c r="AR1726" s="4"/>
      <c r="AS1726" s="4"/>
      <c r="AT1726" s="4"/>
      <c r="AU1726" s="4"/>
      <c r="AV1726" s="4"/>
    </row>
    <row r="1727" spans="4:48" x14ac:dyDescent="0.3">
      <c r="D1727" s="5"/>
      <c r="E1727" s="5"/>
      <c r="F1727" s="20"/>
      <c r="G1727" s="20"/>
      <c r="H1727" s="5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4"/>
      <c r="T1727" s="4"/>
      <c r="U1727" s="4"/>
      <c r="V1727" s="4"/>
      <c r="W1727" s="4"/>
      <c r="X1727" s="4"/>
      <c r="Y1727" s="4"/>
      <c r="Z1727" s="4"/>
      <c r="AA1727" s="4"/>
      <c r="AB1727" s="4"/>
      <c r="AC1727" s="4"/>
      <c r="AD1727" s="4"/>
      <c r="AE1727" s="4"/>
      <c r="AF1727" s="4"/>
      <c r="AG1727" s="4"/>
      <c r="AH1727" s="4"/>
      <c r="AI1727" s="4"/>
      <c r="AJ1727" s="4"/>
      <c r="AK1727" s="4"/>
      <c r="AL1727" s="4"/>
      <c r="AM1727" s="4"/>
      <c r="AN1727" s="4"/>
      <c r="AO1727" s="4"/>
      <c r="AP1727" s="4"/>
      <c r="AQ1727" s="4"/>
      <c r="AR1727" s="4"/>
      <c r="AS1727" s="4"/>
      <c r="AT1727" s="4"/>
      <c r="AU1727" s="4"/>
      <c r="AV1727" s="4"/>
    </row>
    <row r="1728" spans="4:48" x14ac:dyDescent="0.3">
      <c r="D1728" s="5"/>
      <c r="E1728" s="5"/>
      <c r="F1728" s="20"/>
      <c r="G1728" s="20"/>
      <c r="H1728" s="5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4"/>
      <c r="T1728" s="4"/>
      <c r="U1728" s="4"/>
      <c r="V1728" s="4"/>
      <c r="W1728" s="4"/>
      <c r="X1728" s="4"/>
      <c r="Y1728" s="4"/>
      <c r="Z1728" s="4"/>
      <c r="AA1728" s="4"/>
      <c r="AB1728" s="4"/>
      <c r="AC1728" s="4"/>
      <c r="AD1728" s="4"/>
      <c r="AE1728" s="4"/>
      <c r="AF1728" s="4"/>
      <c r="AG1728" s="4"/>
      <c r="AH1728" s="4"/>
      <c r="AI1728" s="4"/>
      <c r="AJ1728" s="4"/>
      <c r="AK1728" s="4"/>
      <c r="AL1728" s="4"/>
      <c r="AM1728" s="4"/>
      <c r="AN1728" s="4"/>
      <c r="AO1728" s="4"/>
      <c r="AP1728" s="4"/>
      <c r="AQ1728" s="4"/>
      <c r="AR1728" s="4"/>
      <c r="AS1728" s="4"/>
      <c r="AT1728" s="4"/>
      <c r="AU1728" s="4"/>
      <c r="AV1728" s="4"/>
    </row>
    <row r="1729" spans="4:48" x14ac:dyDescent="0.3">
      <c r="D1729" s="5"/>
      <c r="E1729" s="5"/>
      <c r="F1729" s="20"/>
      <c r="G1729" s="20"/>
      <c r="H1729" s="5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4"/>
      <c r="T1729" s="4"/>
      <c r="U1729" s="4"/>
      <c r="V1729" s="4"/>
      <c r="W1729" s="4"/>
      <c r="X1729" s="4"/>
      <c r="Y1729" s="4"/>
      <c r="Z1729" s="4"/>
      <c r="AA1729" s="4"/>
      <c r="AB1729" s="4"/>
      <c r="AC1729" s="4"/>
      <c r="AD1729" s="4"/>
      <c r="AE1729" s="4"/>
      <c r="AF1729" s="4"/>
      <c r="AG1729" s="4"/>
      <c r="AH1729" s="4"/>
      <c r="AI1729" s="4"/>
      <c r="AJ1729" s="4"/>
      <c r="AK1729" s="4"/>
      <c r="AL1729" s="4"/>
      <c r="AM1729" s="4"/>
      <c r="AN1729" s="4"/>
      <c r="AO1729" s="4"/>
      <c r="AP1729" s="4"/>
      <c r="AQ1729" s="4"/>
      <c r="AR1729" s="4"/>
      <c r="AS1729" s="4"/>
      <c r="AT1729" s="4"/>
      <c r="AU1729" s="4"/>
      <c r="AV1729" s="4"/>
    </row>
    <row r="1730" spans="4:48" x14ac:dyDescent="0.3">
      <c r="D1730" s="5"/>
      <c r="E1730" s="5"/>
      <c r="F1730" s="20"/>
      <c r="G1730" s="20"/>
      <c r="H1730" s="5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4"/>
      <c r="T1730" s="4"/>
      <c r="U1730" s="4"/>
      <c r="V1730" s="4"/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  <c r="AG1730" s="4"/>
      <c r="AH1730" s="4"/>
      <c r="AI1730" s="4"/>
      <c r="AJ1730" s="4"/>
      <c r="AK1730" s="4"/>
      <c r="AL1730" s="4"/>
      <c r="AM1730" s="4"/>
      <c r="AN1730" s="4"/>
      <c r="AO1730" s="4"/>
      <c r="AP1730" s="4"/>
      <c r="AQ1730" s="4"/>
      <c r="AR1730" s="4"/>
      <c r="AS1730" s="4"/>
      <c r="AT1730" s="4"/>
      <c r="AU1730" s="4"/>
      <c r="AV1730" s="4"/>
    </row>
    <row r="1731" spans="4:48" x14ac:dyDescent="0.3">
      <c r="D1731" s="5"/>
      <c r="E1731" s="5"/>
      <c r="F1731" s="20"/>
      <c r="G1731" s="20"/>
      <c r="H1731" s="5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4"/>
      <c r="T1731" s="4"/>
      <c r="U1731" s="4"/>
      <c r="V1731" s="4"/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  <c r="AG1731" s="4"/>
      <c r="AH1731" s="4"/>
      <c r="AI1731" s="4"/>
      <c r="AJ1731" s="4"/>
      <c r="AK1731" s="4"/>
      <c r="AL1731" s="4"/>
      <c r="AM1731" s="4"/>
      <c r="AN1731" s="4"/>
      <c r="AO1731" s="4"/>
      <c r="AP1731" s="4"/>
      <c r="AQ1731" s="4"/>
      <c r="AR1731" s="4"/>
      <c r="AS1731" s="4"/>
      <c r="AT1731" s="4"/>
      <c r="AU1731" s="4"/>
      <c r="AV1731" s="4"/>
    </row>
    <row r="1732" spans="4:48" x14ac:dyDescent="0.3">
      <c r="D1732" s="5"/>
      <c r="E1732" s="5"/>
      <c r="F1732" s="20"/>
      <c r="G1732" s="20"/>
      <c r="H1732" s="5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4"/>
      <c r="T1732" s="4"/>
      <c r="U1732" s="4"/>
      <c r="V1732" s="4"/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  <c r="AG1732" s="4"/>
      <c r="AH1732" s="4"/>
      <c r="AI1732" s="4"/>
      <c r="AJ1732" s="4"/>
      <c r="AK1732" s="4"/>
      <c r="AL1732" s="4"/>
      <c r="AM1732" s="4"/>
      <c r="AN1732" s="4"/>
      <c r="AO1732" s="4"/>
      <c r="AP1732" s="4"/>
      <c r="AQ1732" s="4"/>
      <c r="AR1732" s="4"/>
      <c r="AS1732" s="4"/>
      <c r="AT1732" s="4"/>
      <c r="AU1732" s="4"/>
      <c r="AV1732" s="4"/>
    </row>
    <row r="1733" spans="4:48" x14ac:dyDescent="0.3">
      <c r="D1733" s="5"/>
      <c r="E1733" s="5"/>
      <c r="F1733" s="20"/>
      <c r="G1733" s="20"/>
      <c r="H1733" s="5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4"/>
      <c r="T1733" s="4"/>
      <c r="U1733" s="4"/>
      <c r="V1733" s="4"/>
      <c r="W1733" s="4"/>
      <c r="X1733" s="4"/>
      <c r="Y1733" s="4"/>
      <c r="Z1733" s="4"/>
      <c r="AA1733" s="4"/>
      <c r="AB1733" s="4"/>
      <c r="AC1733" s="4"/>
      <c r="AD1733" s="4"/>
      <c r="AE1733" s="4"/>
      <c r="AF1733" s="4"/>
      <c r="AG1733" s="4"/>
      <c r="AH1733" s="4"/>
      <c r="AI1733" s="4"/>
      <c r="AJ1733" s="4"/>
      <c r="AK1733" s="4"/>
      <c r="AL1733" s="4"/>
      <c r="AM1733" s="4"/>
      <c r="AN1733" s="4"/>
      <c r="AO1733" s="4"/>
      <c r="AP1733" s="4"/>
      <c r="AQ1733" s="4"/>
      <c r="AR1733" s="4"/>
      <c r="AS1733" s="4"/>
      <c r="AT1733" s="4"/>
      <c r="AU1733" s="4"/>
      <c r="AV1733" s="4"/>
    </row>
    <row r="1734" spans="4:48" x14ac:dyDescent="0.3">
      <c r="D1734" s="5"/>
      <c r="E1734" s="5"/>
      <c r="F1734" s="20"/>
      <c r="G1734" s="20"/>
      <c r="H1734" s="5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4"/>
      <c r="T1734" s="4"/>
      <c r="U1734" s="4"/>
      <c r="V1734" s="4"/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  <c r="AG1734" s="4"/>
      <c r="AH1734" s="4"/>
      <c r="AI1734" s="4"/>
      <c r="AJ1734" s="4"/>
      <c r="AK1734" s="4"/>
      <c r="AL1734" s="4"/>
      <c r="AM1734" s="4"/>
      <c r="AN1734" s="4"/>
      <c r="AO1734" s="4"/>
      <c r="AP1734" s="4"/>
      <c r="AQ1734" s="4"/>
      <c r="AR1734" s="4"/>
      <c r="AS1734" s="4"/>
      <c r="AT1734" s="4"/>
      <c r="AU1734" s="4"/>
      <c r="AV1734" s="4"/>
    </row>
    <row r="1735" spans="4:48" x14ac:dyDescent="0.3">
      <c r="D1735" s="5"/>
      <c r="E1735" s="5"/>
      <c r="F1735" s="20"/>
      <c r="G1735" s="20"/>
      <c r="H1735" s="5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4"/>
      <c r="T1735" s="4"/>
      <c r="U1735" s="4"/>
      <c r="V1735" s="4"/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  <c r="AG1735" s="4"/>
      <c r="AH1735" s="4"/>
      <c r="AI1735" s="4"/>
      <c r="AJ1735" s="4"/>
      <c r="AK1735" s="4"/>
      <c r="AL1735" s="4"/>
      <c r="AM1735" s="4"/>
      <c r="AN1735" s="4"/>
      <c r="AO1735" s="4"/>
      <c r="AP1735" s="4"/>
      <c r="AQ1735" s="4"/>
      <c r="AR1735" s="4"/>
      <c r="AS1735" s="4"/>
      <c r="AT1735" s="4"/>
      <c r="AU1735" s="4"/>
      <c r="AV1735" s="4"/>
    </row>
    <row r="1736" spans="4:48" x14ac:dyDescent="0.3">
      <c r="D1736" s="5"/>
      <c r="E1736" s="5"/>
      <c r="F1736" s="20"/>
      <c r="G1736" s="20"/>
      <c r="H1736" s="5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4"/>
      <c r="T1736" s="4"/>
      <c r="U1736" s="4"/>
      <c r="V1736" s="4"/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  <c r="AG1736" s="4"/>
      <c r="AH1736" s="4"/>
      <c r="AI1736" s="4"/>
      <c r="AJ1736" s="4"/>
      <c r="AK1736" s="4"/>
      <c r="AL1736" s="4"/>
      <c r="AM1736" s="4"/>
      <c r="AN1736" s="4"/>
      <c r="AO1736" s="4"/>
      <c r="AP1736" s="4"/>
      <c r="AQ1736" s="4"/>
      <c r="AR1736" s="4"/>
      <c r="AS1736" s="4"/>
      <c r="AT1736" s="4"/>
      <c r="AU1736" s="4"/>
      <c r="AV1736" s="4"/>
    </row>
    <row r="1737" spans="4:48" x14ac:dyDescent="0.3">
      <c r="D1737" s="5"/>
      <c r="E1737" s="5"/>
      <c r="F1737" s="20"/>
      <c r="G1737" s="20"/>
      <c r="H1737" s="5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4"/>
      <c r="T1737" s="4"/>
      <c r="U1737" s="4"/>
      <c r="V1737" s="4"/>
      <c r="W1737" s="4"/>
      <c r="X1737" s="4"/>
      <c r="Y1737" s="4"/>
      <c r="Z1737" s="4"/>
      <c r="AA1737" s="4"/>
      <c r="AB1737" s="4"/>
      <c r="AC1737" s="4"/>
      <c r="AD1737" s="4"/>
      <c r="AE1737" s="4"/>
      <c r="AF1737" s="4"/>
      <c r="AG1737" s="4"/>
      <c r="AH1737" s="4"/>
      <c r="AI1737" s="4"/>
      <c r="AJ1737" s="4"/>
      <c r="AK1737" s="4"/>
      <c r="AL1737" s="4"/>
      <c r="AM1737" s="4"/>
      <c r="AN1737" s="4"/>
      <c r="AO1737" s="4"/>
      <c r="AP1737" s="4"/>
      <c r="AQ1737" s="4"/>
      <c r="AR1737" s="4"/>
      <c r="AS1737" s="4"/>
      <c r="AT1737" s="4"/>
      <c r="AU1737" s="4"/>
      <c r="AV1737" s="4"/>
    </row>
    <row r="1738" spans="4:48" x14ac:dyDescent="0.3">
      <c r="D1738" s="5"/>
      <c r="E1738" s="5"/>
      <c r="F1738" s="20"/>
      <c r="G1738" s="20"/>
      <c r="H1738" s="5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4"/>
      <c r="T1738" s="4"/>
      <c r="U1738" s="4"/>
      <c r="V1738" s="4"/>
      <c r="W1738" s="4"/>
      <c r="X1738" s="4"/>
      <c r="Y1738" s="4"/>
      <c r="Z1738" s="4"/>
      <c r="AA1738" s="4"/>
      <c r="AB1738" s="4"/>
      <c r="AC1738" s="4"/>
      <c r="AD1738" s="4"/>
      <c r="AE1738" s="4"/>
      <c r="AF1738" s="4"/>
      <c r="AG1738" s="4"/>
      <c r="AH1738" s="4"/>
      <c r="AI1738" s="4"/>
      <c r="AJ1738" s="4"/>
      <c r="AK1738" s="4"/>
      <c r="AL1738" s="4"/>
      <c r="AM1738" s="4"/>
      <c r="AN1738" s="4"/>
      <c r="AO1738" s="4"/>
      <c r="AP1738" s="4"/>
      <c r="AQ1738" s="4"/>
      <c r="AR1738" s="4"/>
      <c r="AS1738" s="4"/>
      <c r="AT1738" s="4"/>
      <c r="AU1738" s="4"/>
      <c r="AV1738" s="4"/>
    </row>
    <row r="1739" spans="4:48" x14ac:dyDescent="0.3">
      <c r="D1739" s="5"/>
      <c r="E1739" s="5"/>
      <c r="F1739" s="20"/>
      <c r="G1739" s="20"/>
      <c r="H1739" s="5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4"/>
      <c r="T1739" s="4"/>
      <c r="U1739" s="4"/>
      <c r="V1739" s="4"/>
      <c r="W1739" s="4"/>
      <c r="X1739" s="4"/>
      <c r="Y1739" s="4"/>
      <c r="Z1739" s="4"/>
      <c r="AA1739" s="4"/>
      <c r="AB1739" s="4"/>
      <c r="AC1739" s="4"/>
      <c r="AD1739" s="4"/>
      <c r="AE1739" s="4"/>
      <c r="AF1739" s="4"/>
      <c r="AG1739" s="4"/>
      <c r="AH1739" s="4"/>
      <c r="AI1739" s="4"/>
      <c r="AJ1739" s="4"/>
      <c r="AK1739" s="4"/>
      <c r="AL1739" s="4"/>
      <c r="AM1739" s="4"/>
      <c r="AN1739" s="4"/>
      <c r="AO1739" s="4"/>
      <c r="AP1739" s="4"/>
      <c r="AQ1739" s="4"/>
      <c r="AR1739" s="4"/>
      <c r="AS1739" s="4"/>
      <c r="AT1739" s="4"/>
      <c r="AU1739" s="4"/>
      <c r="AV1739" s="4"/>
    </row>
    <row r="1740" spans="4:48" x14ac:dyDescent="0.3">
      <c r="D1740" s="5"/>
      <c r="E1740" s="5"/>
      <c r="F1740" s="20"/>
      <c r="G1740" s="20"/>
      <c r="H1740" s="5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4"/>
      <c r="T1740" s="4"/>
      <c r="U1740" s="4"/>
      <c r="V1740" s="4"/>
      <c r="W1740" s="4"/>
      <c r="X1740" s="4"/>
      <c r="Y1740" s="4"/>
      <c r="Z1740" s="4"/>
      <c r="AA1740" s="4"/>
      <c r="AB1740" s="4"/>
      <c r="AC1740" s="4"/>
      <c r="AD1740" s="4"/>
      <c r="AE1740" s="4"/>
      <c r="AF1740" s="4"/>
      <c r="AG1740" s="4"/>
      <c r="AH1740" s="4"/>
      <c r="AI1740" s="4"/>
      <c r="AJ1740" s="4"/>
      <c r="AK1740" s="4"/>
      <c r="AL1740" s="4"/>
      <c r="AM1740" s="4"/>
      <c r="AN1740" s="4"/>
      <c r="AO1740" s="4"/>
      <c r="AP1740" s="4"/>
      <c r="AQ1740" s="4"/>
      <c r="AR1740" s="4"/>
      <c r="AS1740" s="4"/>
      <c r="AT1740" s="4"/>
      <c r="AU1740" s="4"/>
      <c r="AV1740" s="4"/>
    </row>
    <row r="1741" spans="4:48" x14ac:dyDescent="0.3">
      <c r="D1741" s="5"/>
      <c r="E1741" s="5"/>
      <c r="F1741" s="20"/>
      <c r="G1741" s="20"/>
      <c r="H1741" s="5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4"/>
      <c r="T1741" s="4"/>
      <c r="U1741" s="4"/>
      <c r="V1741" s="4"/>
      <c r="W1741" s="4"/>
      <c r="X1741" s="4"/>
      <c r="Y1741" s="4"/>
      <c r="Z1741" s="4"/>
      <c r="AA1741" s="4"/>
      <c r="AB1741" s="4"/>
      <c r="AC1741" s="4"/>
      <c r="AD1741" s="4"/>
      <c r="AE1741" s="4"/>
      <c r="AF1741" s="4"/>
      <c r="AG1741" s="4"/>
      <c r="AH1741" s="4"/>
      <c r="AI1741" s="4"/>
      <c r="AJ1741" s="4"/>
      <c r="AK1741" s="4"/>
      <c r="AL1741" s="4"/>
      <c r="AM1741" s="4"/>
      <c r="AN1741" s="4"/>
      <c r="AO1741" s="4"/>
      <c r="AP1741" s="4"/>
      <c r="AQ1741" s="4"/>
      <c r="AR1741" s="4"/>
      <c r="AS1741" s="4"/>
      <c r="AT1741" s="4"/>
      <c r="AU1741" s="4"/>
      <c r="AV1741" s="4"/>
    </row>
    <row r="1742" spans="4:48" x14ac:dyDescent="0.3">
      <c r="D1742" s="5"/>
      <c r="E1742" s="5"/>
      <c r="F1742" s="20"/>
      <c r="G1742" s="20"/>
      <c r="H1742" s="5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4"/>
      <c r="T1742" s="4"/>
      <c r="U1742" s="4"/>
      <c r="V1742" s="4"/>
      <c r="W1742" s="4"/>
      <c r="X1742" s="4"/>
      <c r="Y1742" s="4"/>
      <c r="Z1742" s="4"/>
      <c r="AA1742" s="4"/>
      <c r="AB1742" s="4"/>
      <c r="AC1742" s="4"/>
      <c r="AD1742" s="4"/>
      <c r="AE1742" s="4"/>
      <c r="AF1742" s="4"/>
      <c r="AG1742" s="4"/>
      <c r="AH1742" s="4"/>
      <c r="AI1742" s="4"/>
      <c r="AJ1742" s="4"/>
      <c r="AK1742" s="4"/>
      <c r="AL1742" s="4"/>
      <c r="AM1742" s="4"/>
      <c r="AN1742" s="4"/>
      <c r="AO1742" s="4"/>
      <c r="AP1742" s="4"/>
      <c r="AQ1742" s="4"/>
      <c r="AR1742" s="4"/>
      <c r="AS1742" s="4"/>
      <c r="AT1742" s="4"/>
      <c r="AU1742" s="4"/>
      <c r="AV1742" s="4"/>
    </row>
    <row r="1743" spans="4:48" x14ac:dyDescent="0.3">
      <c r="D1743" s="5"/>
      <c r="E1743" s="5"/>
      <c r="F1743" s="20"/>
      <c r="G1743" s="20"/>
      <c r="H1743" s="5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4"/>
      <c r="T1743" s="4"/>
      <c r="U1743" s="4"/>
      <c r="V1743" s="4"/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  <c r="AG1743" s="4"/>
      <c r="AH1743" s="4"/>
      <c r="AI1743" s="4"/>
      <c r="AJ1743" s="4"/>
      <c r="AK1743" s="4"/>
      <c r="AL1743" s="4"/>
      <c r="AM1743" s="4"/>
      <c r="AN1743" s="4"/>
      <c r="AO1743" s="4"/>
      <c r="AP1743" s="4"/>
      <c r="AQ1743" s="4"/>
      <c r="AR1743" s="4"/>
      <c r="AS1743" s="4"/>
      <c r="AT1743" s="4"/>
      <c r="AU1743" s="4"/>
      <c r="AV1743" s="4"/>
    </row>
    <row r="1744" spans="4:48" x14ac:dyDescent="0.3">
      <c r="D1744" s="5"/>
      <c r="E1744" s="5"/>
      <c r="F1744" s="20"/>
      <c r="G1744" s="20"/>
      <c r="H1744" s="5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  <c r="AD1744" s="4"/>
      <c r="AE1744" s="4"/>
      <c r="AF1744" s="4"/>
      <c r="AG1744" s="4"/>
      <c r="AH1744" s="4"/>
      <c r="AI1744" s="4"/>
      <c r="AJ1744" s="4"/>
      <c r="AK1744" s="4"/>
      <c r="AL1744" s="4"/>
      <c r="AM1744" s="4"/>
      <c r="AN1744" s="4"/>
      <c r="AO1744" s="4"/>
      <c r="AP1744" s="4"/>
      <c r="AQ1744" s="4"/>
      <c r="AR1744" s="4"/>
      <c r="AS1744" s="4"/>
      <c r="AT1744" s="4"/>
      <c r="AU1744" s="4"/>
      <c r="AV1744" s="4"/>
    </row>
    <row r="1745" spans="4:48" x14ac:dyDescent="0.3">
      <c r="D1745" s="5"/>
      <c r="E1745" s="5"/>
      <c r="F1745" s="20"/>
      <c r="G1745" s="20"/>
      <c r="H1745" s="5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4"/>
      <c r="T1745" s="4"/>
      <c r="U1745" s="4"/>
      <c r="V1745" s="4"/>
      <c r="W1745" s="4"/>
      <c r="X1745" s="4"/>
      <c r="Y1745" s="4"/>
      <c r="Z1745" s="4"/>
      <c r="AA1745" s="4"/>
      <c r="AB1745" s="4"/>
      <c r="AC1745" s="4"/>
      <c r="AD1745" s="4"/>
      <c r="AE1745" s="4"/>
      <c r="AF1745" s="4"/>
      <c r="AG1745" s="4"/>
      <c r="AH1745" s="4"/>
      <c r="AI1745" s="4"/>
      <c r="AJ1745" s="4"/>
      <c r="AK1745" s="4"/>
      <c r="AL1745" s="4"/>
      <c r="AM1745" s="4"/>
      <c r="AN1745" s="4"/>
      <c r="AO1745" s="4"/>
      <c r="AP1745" s="4"/>
      <c r="AQ1745" s="4"/>
      <c r="AR1745" s="4"/>
      <c r="AS1745" s="4"/>
      <c r="AT1745" s="4"/>
      <c r="AU1745" s="4"/>
      <c r="AV1745" s="4"/>
    </row>
    <row r="1746" spans="4:48" x14ac:dyDescent="0.3">
      <c r="D1746" s="5"/>
      <c r="E1746" s="5"/>
      <c r="F1746" s="20"/>
      <c r="G1746" s="20"/>
      <c r="H1746" s="5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4"/>
      <c r="T1746" s="4"/>
      <c r="U1746" s="4"/>
      <c r="V1746" s="4"/>
      <c r="W1746" s="4"/>
      <c r="X1746" s="4"/>
      <c r="Y1746" s="4"/>
      <c r="Z1746" s="4"/>
      <c r="AA1746" s="4"/>
      <c r="AB1746" s="4"/>
      <c r="AC1746" s="4"/>
      <c r="AD1746" s="4"/>
      <c r="AE1746" s="4"/>
      <c r="AF1746" s="4"/>
      <c r="AG1746" s="4"/>
      <c r="AH1746" s="4"/>
      <c r="AI1746" s="4"/>
      <c r="AJ1746" s="4"/>
      <c r="AK1746" s="4"/>
      <c r="AL1746" s="4"/>
      <c r="AM1746" s="4"/>
      <c r="AN1746" s="4"/>
      <c r="AO1746" s="4"/>
      <c r="AP1746" s="4"/>
      <c r="AQ1746" s="4"/>
      <c r="AR1746" s="4"/>
      <c r="AS1746" s="4"/>
      <c r="AT1746" s="4"/>
      <c r="AU1746" s="4"/>
      <c r="AV1746" s="4"/>
    </row>
    <row r="1747" spans="4:48" x14ac:dyDescent="0.3">
      <c r="D1747" s="5"/>
      <c r="E1747" s="5"/>
      <c r="F1747" s="20"/>
      <c r="G1747" s="20"/>
      <c r="H1747" s="5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4"/>
      <c r="T1747" s="4"/>
      <c r="U1747" s="4"/>
      <c r="V1747" s="4"/>
      <c r="W1747" s="4"/>
      <c r="X1747" s="4"/>
      <c r="Y1747" s="4"/>
      <c r="Z1747" s="4"/>
      <c r="AA1747" s="4"/>
      <c r="AB1747" s="4"/>
      <c r="AC1747" s="4"/>
      <c r="AD1747" s="4"/>
      <c r="AE1747" s="4"/>
      <c r="AF1747" s="4"/>
      <c r="AG1747" s="4"/>
      <c r="AH1747" s="4"/>
      <c r="AI1747" s="4"/>
      <c r="AJ1747" s="4"/>
      <c r="AK1747" s="4"/>
      <c r="AL1747" s="4"/>
      <c r="AM1747" s="4"/>
      <c r="AN1747" s="4"/>
      <c r="AO1747" s="4"/>
      <c r="AP1747" s="4"/>
      <c r="AQ1747" s="4"/>
      <c r="AR1747" s="4"/>
      <c r="AS1747" s="4"/>
      <c r="AT1747" s="4"/>
      <c r="AU1747" s="4"/>
      <c r="AV1747" s="4"/>
    </row>
    <row r="1748" spans="4:48" x14ac:dyDescent="0.3">
      <c r="D1748" s="5"/>
      <c r="E1748" s="5"/>
      <c r="F1748" s="20"/>
      <c r="G1748" s="20"/>
      <c r="H1748" s="5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4"/>
      <c r="T1748" s="4"/>
      <c r="U1748" s="4"/>
      <c r="V1748" s="4"/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  <c r="AG1748" s="4"/>
      <c r="AH1748" s="4"/>
      <c r="AI1748" s="4"/>
      <c r="AJ1748" s="4"/>
      <c r="AK1748" s="4"/>
      <c r="AL1748" s="4"/>
      <c r="AM1748" s="4"/>
      <c r="AN1748" s="4"/>
      <c r="AO1748" s="4"/>
      <c r="AP1748" s="4"/>
      <c r="AQ1748" s="4"/>
      <c r="AR1748" s="4"/>
      <c r="AS1748" s="4"/>
      <c r="AT1748" s="4"/>
      <c r="AU1748" s="4"/>
      <c r="AV1748" s="4"/>
    </row>
    <row r="1749" spans="4:48" x14ac:dyDescent="0.3">
      <c r="D1749" s="5"/>
      <c r="E1749" s="5"/>
      <c r="F1749" s="20"/>
      <c r="G1749" s="20"/>
      <c r="H1749" s="5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4"/>
      <c r="T1749" s="4"/>
      <c r="U1749" s="4"/>
      <c r="V1749" s="4"/>
      <c r="W1749" s="4"/>
      <c r="X1749" s="4"/>
      <c r="Y1749" s="4"/>
      <c r="Z1749" s="4"/>
      <c r="AA1749" s="4"/>
      <c r="AB1749" s="4"/>
      <c r="AC1749" s="4"/>
      <c r="AD1749" s="4"/>
      <c r="AE1749" s="4"/>
      <c r="AF1749" s="4"/>
      <c r="AG1749" s="4"/>
      <c r="AH1749" s="4"/>
      <c r="AI1749" s="4"/>
      <c r="AJ1749" s="4"/>
      <c r="AK1749" s="4"/>
      <c r="AL1749" s="4"/>
      <c r="AM1749" s="4"/>
      <c r="AN1749" s="4"/>
      <c r="AO1749" s="4"/>
      <c r="AP1749" s="4"/>
      <c r="AQ1749" s="4"/>
      <c r="AR1749" s="4"/>
      <c r="AS1749" s="4"/>
      <c r="AT1749" s="4"/>
      <c r="AU1749" s="4"/>
      <c r="AV1749" s="4"/>
    </row>
    <row r="1750" spans="4:48" x14ac:dyDescent="0.3">
      <c r="D1750" s="5"/>
      <c r="E1750" s="5"/>
      <c r="F1750" s="20"/>
      <c r="G1750" s="20"/>
      <c r="H1750" s="5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4"/>
      <c r="T1750" s="4"/>
      <c r="U1750" s="4"/>
      <c r="V1750" s="4"/>
      <c r="W1750" s="4"/>
      <c r="X1750" s="4"/>
      <c r="Y1750" s="4"/>
      <c r="Z1750" s="4"/>
      <c r="AA1750" s="4"/>
      <c r="AB1750" s="4"/>
      <c r="AC1750" s="4"/>
      <c r="AD1750" s="4"/>
      <c r="AE1750" s="4"/>
      <c r="AF1750" s="4"/>
      <c r="AG1750" s="4"/>
      <c r="AH1750" s="4"/>
      <c r="AI1750" s="4"/>
      <c r="AJ1750" s="4"/>
      <c r="AK1750" s="4"/>
      <c r="AL1750" s="4"/>
      <c r="AM1750" s="4"/>
      <c r="AN1750" s="4"/>
      <c r="AO1750" s="4"/>
      <c r="AP1750" s="4"/>
      <c r="AQ1750" s="4"/>
      <c r="AR1750" s="4"/>
      <c r="AS1750" s="4"/>
      <c r="AT1750" s="4"/>
      <c r="AU1750" s="4"/>
      <c r="AV1750" s="4"/>
    </row>
    <row r="1751" spans="4:48" x14ac:dyDescent="0.3">
      <c r="D1751" s="5"/>
      <c r="E1751" s="5"/>
      <c r="F1751" s="20"/>
      <c r="G1751" s="20"/>
      <c r="H1751" s="5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4"/>
      <c r="T1751" s="4"/>
      <c r="U1751" s="4"/>
      <c r="V1751" s="4"/>
      <c r="W1751" s="4"/>
      <c r="X1751" s="4"/>
      <c r="Y1751" s="4"/>
      <c r="Z1751" s="4"/>
      <c r="AA1751" s="4"/>
      <c r="AB1751" s="4"/>
      <c r="AC1751" s="4"/>
      <c r="AD1751" s="4"/>
      <c r="AE1751" s="4"/>
      <c r="AF1751" s="4"/>
      <c r="AG1751" s="4"/>
      <c r="AH1751" s="4"/>
      <c r="AI1751" s="4"/>
      <c r="AJ1751" s="4"/>
      <c r="AK1751" s="4"/>
      <c r="AL1751" s="4"/>
      <c r="AM1751" s="4"/>
      <c r="AN1751" s="4"/>
      <c r="AO1751" s="4"/>
      <c r="AP1751" s="4"/>
      <c r="AQ1751" s="4"/>
      <c r="AR1751" s="4"/>
      <c r="AS1751" s="4"/>
      <c r="AT1751" s="4"/>
      <c r="AU1751" s="4"/>
      <c r="AV1751" s="4"/>
    </row>
    <row r="1752" spans="4:48" x14ac:dyDescent="0.3">
      <c r="D1752" s="5"/>
      <c r="E1752" s="5"/>
      <c r="F1752" s="20"/>
      <c r="G1752" s="20"/>
      <c r="H1752" s="5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4"/>
      <c r="T1752" s="4"/>
      <c r="U1752" s="4"/>
      <c r="V1752" s="4"/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  <c r="AG1752" s="4"/>
      <c r="AH1752" s="4"/>
      <c r="AI1752" s="4"/>
      <c r="AJ1752" s="4"/>
      <c r="AK1752" s="4"/>
      <c r="AL1752" s="4"/>
      <c r="AM1752" s="4"/>
      <c r="AN1752" s="4"/>
      <c r="AO1752" s="4"/>
      <c r="AP1752" s="4"/>
      <c r="AQ1752" s="4"/>
      <c r="AR1752" s="4"/>
      <c r="AS1752" s="4"/>
      <c r="AT1752" s="4"/>
      <c r="AU1752" s="4"/>
      <c r="AV1752" s="4"/>
    </row>
    <row r="1753" spans="4:48" x14ac:dyDescent="0.3">
      <c r="D1753" s="5"/>
      <c r="E1753" s="5"/>
      <c r="F1753" s="20"/>
      <c r="G1753" s="20"/>
      <c r="H1753" s="5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4"/>
      <c r="T1753" s="4"/>
      <c r="U1753" s="4"/>
      <c r="V1753" s="4"/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  <c r="AG1753" s="4"/>
      <c r="AH1753" s="4"/>
      <c r="AI1753" s="4"/>
      <c r="AJ1753" s="4"/>
      <c r="AK1753" s="4"/>
      <c r="AL1753" s="4"/>
      <c r="AM1753" s="4"/>
      <c r="AN1753" s="4"/>
      <c r="AO1753" s="4"/>
      <c r="AP1753" s="4"/>
      <c r="AQ1753" s="4"/>
      <c r="AR1753" s="4"/>
      <c r="AS1753" s="4"/>
      <c r="AT1753" s="4"/>
      <c r="AU1753" s="4"/>
      <c r="AV1753" s="4"/>
    </row>
    <row r="1754" spans="4:48" x14ac:dyDescent="0.3">
      <c r="D1754" s="5"/>
      <c r="E1754" s="5"/>
      <c r="F1754" s="20"/>
      <c r="G1754" s="20"/>
      <c r="H1754" s="5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4"/>
      <c r="T1754" s="4"/>
      <c r="U1754" s="4"/>
      <c r="V1754" s="4"/>
      <c r="W1754" s="4"/>
      <c r="X1754" s="4"/>
      <c r="Y1754" s="4"/>
      <c r="Z1754" s="4"/>
      <c r="AA1754" s="4"/>
      <c r="AB1754" s="4"/>
      <c r="AC1754" s="4"/>
      <c r="AD1754" s="4"/>
      <c r="AE1754" s="4"/>
      <c r="AF1754" s="4"/>
      <c r="AG1754" s="4"/>
      <c r="AH1754" s="4"/>
      <c r="AI1754" s="4"/>
      <c r="AJ1754" s="4"/>
      <c r="AK1754" s="4"/>
      <c r="AL1754" s="4"/>
      <c r="AM1754" s="4"/>
      <c r="AN1754" s="4"/>
      <c r="AO1754" s="4"/>
      <c r="AP1754" s="4"/>
      <c r="AQ1754" s="4"/>
      <c r="AR1754" s="4"/>
      <c r="AS1754" s="4"/>
      <c r="AT1754" s="4"/>
      <c r="AU1754" s="4"/>
      <c r="AV1754" s="4"/>
    </row>
    <row r="1755" spans="4:48" x14ac:dyDescent="0.3">
      <c r="D1755" s="5"/>
      <c r="E1755" s="5"/>
      <c r="F1755" s="20"/>
      <c r="G1755" s="20"/>
      <c r="H1755" s="5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4"/>
      <c r="T1755" s="4"/>
      <c r="U1755" s="4"/>
      <c r="V1755" s="4"/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  <c r="AG1755" s="4"/>
      <c r="AH1755" s="4"/>
      <c r="AI1755" s="4"/>
      <c r="AJ1755" s="4"/>
      <c r="AK1755" s="4"/>
      <c r="AL1755" s="4"/>
      <c r="AM1755" s="4"/>
      <c r="AN1755" s="4"/>
      <c r="AO1755" s="4"/>
      <c r="AP1755" s="4"/>
      <c r="AQ1755" s="4"/>
      <c r="AR1755" s="4"/>
      <c r="AS1755" s="4"/>
      <c r="AT1755" s="4"/>
      <c r="AU1755" s="4"/>
      <c r="AV1755" s="4"/>
    </row>
    <row r="1756" spans="4:48" x14ac:dyDescent="0.3">
      <c r="D1756" s="5"/>
      <c r="E1756" s="5"/>
      <c r="F1756" s="20"/>
      <c r="G1756" s="20"/>
      <c r="H1756" s="5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4"/>
      <c r="T1756" s="4"/>
      <c r="U1756" s="4"/>
      <c r="V1756" s="4"/>
      <c r="W1756" s="4"/>
      <c r="X1756" s="4"/>
      <c r="Y1756" s="4"/>
      <c r="Z1756" s="4"/>
      <c r="AA1756" s="4"/>
      <c r="AB1756" s="4"/>
      <c r="AC1756" s="4"/>
      <c r="AD1756" s="4"/>
      <c r="AE1756" s="4"/>
      <c r="AF1756" s="4"/>
      <c r="AG1756" s="4"/>
      <c r="AH1756" s="4"/>
      <c r="AI1756" s="4"/>
      <c r="AJ1756" s="4"/>
      <c r="AK1756" s="4"/>
      <c r="AL1756" s="4"/>
      <c r="AM1756" s="4"/>
      <c r="AN1756" s="4"/>
      <c r="AO1756" s="4"/>
      <c r="AP1756" s="4"/>
      <c r="AQ1756" s="4"/>
      <c r="AR1756" s="4"/>
      <c r="AS1756" s="4"/>
      <c r="AT1756" s="4"/>
      <c r="AU1756" s="4"/>
      <c r="AV1756" s="4"/>
    </row>
    <row r="1757" spans="4:48" x14ac:dyDescent="0.3">
      <c r="D1757" s="5"/>
      <c r="E1757" s="5"/>
      <c r="F1757" s="20"/>
      <c r="G1757" s="20"/>
      <c r="H1757" s="5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4"/>
      <c r="T1757" s="4"/>
      <c r="U1757" s="4"/>
      <c r="V1757" s="4"/>
      <c r="W1757" s="4"/>
      <c r="X1757" s="4"/>
      <c r="Y1757" s="4"/>
      <c r="Z1757" s="4"/>
      <c r="AA1757" s="4"/>
      <c r="AB1757" s="4"/>
      <c r="AC1757" s="4"/>
      <c r="AD1757" s="4"/>
      <c r="AE1757" s="4"/>
      <c r="AF1757" s="4"/>
      <c r="AG1757" s="4"/>
      <c r="AH1757" s="4"/>
      <c r="AI1757" s="4"/>
      <c r="AJ1757" s="4"/>
      <c r="AK1757" s="4"/>
      <c r="AL1757" s="4"/>
      <c r="AM1757" s="4"/>
      <c r="AN1757" s="4"/>
      <c r="AO1757" s="4"/>
      <c r="AP1757" s="4"/>
      <c r="AQ1757" s="4"/>
      <c r="AR1757" s="4"/>
      <c r="AS1757" s="4"/>
      <c r="AT1757" s="4"/>
      <c r="AU1757" s="4"/>
      <c r="AV1757" s="4"/>
    </row>
    <row r="1758" spans="4:48" x14ac:dyDescent="0.3">
      <c r="D1758" s="5"/>
      <c r="E1758" s="5"/>
      <c r="F1758" s="20"/>
      <c r="G1758" s="20"/>
      <c r="H1758" s="5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4"/>
      <c r="T1758" s="4"/>
      <c r="U1758" s="4"/>
      <c r="V1758" s="4"/>
      <c r="W1758" s="4"/>
      <c r="X1758" s="4"/>
      <c r="Y1758" s="4"/>
      <c r="Z1758" s="4"/>
      <c r="AA1758" s="4"/>
      <c r="AB1758" s="4"/>
      <c r="AC1758" s="4"/>
      <c r="AD1758" s="4"/>
      <c r="AE1758" s="4"/>
      <c r="AF1758" s="4"/>
      <c r="AG1758" s="4"/>
      <c r="AH1758" s="4"/>
      <c r="AI1758" s="4"/>
      <c r="AJ1758" s="4"/>
      <c r="AK1758" s="4"/>
      <c r="AL1758" s="4"/>
      <c r="AM1758" s="4"/>
      <c r="AN1758" s="4"/>
      <c r="AO1758" s="4"/>
      <c r="AP1758" s="4"/>
      <c r="AQ1758" s="4"/>
      <c r="AR1758" s="4"/>
      <c r="AS1758" s="4"/>
      <c r="AT1758" s="4"/>
      <c r="AU1758" s="4"/>
      <c r="AV1758" s="4"/>
    </row>
    <row r="1759" spans="4:48" x14ac:dyDescent="0.3">
      <c r="D1759" s="5"/>
      <c r="E1759" s="5"/>
      <c r="F1759" s="20"/>
      <c r="G1759" s="20"/>
      <c r="H1759" s="5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4"/>
      <c r="T1759" s="4"/>
      <c r="U1759" s="4"/>
      <c r="V1759" s="4"/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  <c r="AG1759" s="4"/>
      <c r="AH1759" s="4"/>
      <c r="AI1759" s="4"/>
      <c r="AJ1759" s="4"/>
      <c r="AK1759" s="4"/>
      <c r="AL1759" s="4"/>
      <c r="AM1759" s="4"/>
      <c r="AN1759" s="4"/>
      <c r="AO1759" s="4"/>
      <c r="AP1759" s="4"/>
      <c r="AQ1759" s="4"/>
      <c r="AR1759" s="4"/>
      <c r="AS1759" s="4"/>
      <c r="AT1759" s="4"/>
      <c r="AU1759" s="4"/>
      <c r="AV1759" s="4"/>
    </row>
    <row r="1760" spans="4:48" x14ac:dyDescent="0.3">
      <c r="D1760" s="5"/>
      <c r="E1760" s="5"/>
      <c r="F1760" s="20"/>
      <c r="G1760" s="20"/>
      <c r="H1760" s="5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4"/>
      <c r="T1760" s="4"/>
      <c r="U1760" s="4"/>
      <c r="V1760" s="4"/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  <c r="AG1760" s="4"/>
      <c r="AH1760" s="4"/>
      <c r="AI1760" s="4"/>
      <c r="AJ1760" s="4"/>
      <c r="AK1760" s="4"/>
      <c r="AL1760" s="4"/>
      <c r="AM1760" s="4"/>
      <c r="AN1760" s="4"/>
      <c r="AO1760" s="4"/>
      <c r="AP1760" s="4"/>
      <c r="AQ1760" s="4"/>
      <c r="AR1760" s="4"/>
      <c r="AS1760" s="4"/>
      <c r="AT1760" s="4"/>
      <c r="AU1760" s="4"/>
      <c r="AV1760" s="4"/>
    </row>
    <row r="1761" spans="4:48" x14ac:dyDescent="0.3">
      <c r="D1761" s="5"/>
      <c r="E1761" s="5"/>
      <c r="F1761" s="20"/>
      <c r="G1761" s="20"/>
      <c r="H1761" s="5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4"/>
      <c r="T1761" s="4"/>
      <c r="U1761" s="4"/>
      <c r="V1761" s="4"/>
      <c r="W1761" s="4"/>
      <c r="X1761" s="4"/>
      <c r="Y1761" s="4"/>
      <c r="Z1761" s="4"/>
      <c r="AA1761" s="4"/>
      <c r="AB1761" s="4"/>
      <c r="AC1761" s="4"/>
      <c r="AD1761" s="4"/>
      <c r="AE1761" s="4"/>
      <c r="AF1761" s="4"/>
      <c r="AG1761" s="4"/>
      <c r="AH1761" s="4"/>
      <c r="AI1761" s="4"/>
      <c r="AJ1761" s="4"/>
      <c r="AK1761" s="4"/>
      <c r="AL1761" s="4"/>
      <c r="AM1761" s="4"/>
      <c r="AN1761" s="4"/>
      <c r="AO1761" s="4"/>
      <c r="AP1761" s="4"/>
      <c r="AQ1761" s="4"/>
      <c r="AR1761" s="4"/>
      <c r="AS1761" s="4"/>
      <c r="AT1761" s="4"/>
      <c r="AU1761" s="4"/>
      <c r="AV1761" s="4"/>
    </row>
    <row r="1762" spans="4:48" x14ac:dyDescent="0.3">
      <c r="D1762" s="5"/>
      <c r="E1762" s="5"/>
      <c r="F1762" s="20"/>
      <c r="G1762" s="20"/>
      <c r="H1762" s="5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4"/>
      <c r="T1762" s="4"/>
      <c r="U1762" s="4"/>
      <c r="V1762" s="4"/>
      <c r="W1762" s="4"/>
      <c r="X1762" s="4"/>
      <c r="Y1762" s="4"/>
      <c r="Z1762" s="4"/>
      <c r="AA1762" s="4"/>
      <c r="AB1762" s="4"/>
      <c r="AC1762" s="4"/>
      <c r="AD1762" s="4"/>
      <c r="AE1762" s="4"/>
      <c r="AF1762" s="4"/>
      <c r="AG1762" s="4"/>
      <c r="AH1762" s="4"/>
      <c r="AI1762" s="4"/>
      <c r="AJ1762" s="4"/>
      <c r="AK1762" s="4"/>
      <c r="AL1762" s="4"/>
      <c r="AM1762" s="4"/>
      <c r="AN1762" s="4"/>
      <c r="AO1762" s="4"/>
      <c r="AP1762" s="4"/>
      <c r="AQ1762" s="4"/>
      <c r="AR1762" s="4"/>
      <c r="AS1762" s="4"/>
      <c r="AT1762" s="4"/>
      <c r="AU1762" s="4"/>
      <c r="AV1762" s="4"/>
    </row>
    <row r="1763" spans="4:48" x14ac:dyDescent="0.3">
      <c r="D1763" s="5"/>
      <c r="E1763" s="5"/>
      <c r="F1763" s="20"/>
      <c r="G1763" s="20"/>
      <c r="H1763" s="5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4"/>
      <c r="T1763" s="4"/>
      <c r="U1763" s="4"/>
      <c r="V1763" s="4"/>
      <c r="W1763" s="4"/>
      <c r="X1763" s="4"/>
      <c r="Y1763" s="4"/>
      <c r="Z1763" s="4"/>
      <c r="AA1763" s="4"/>
      <c r="AB1763" s="4"/>
      <c r="AC1763" s="4"/>
      <c r="AD1763" s="4"/>
      <c r="AE1763" s="4"/>
      <c r="AF1763" s="4"/>
      <c r="AG1763" s="4"/>
      <c r="AH1763" s="4"/>
      <c r="AI1763" s="4"/>
      <c r="AJ1763" s="4"/>
      <c r="AK1763" s="4"/>
      <c r="AL1763" s="4"/>
      <c r="AM1763" s="4"/>
      <c r="AN1763" s="4"/>
      <c r="AO1763" s="4"/>
      <c r="AP1763" s="4"/>
      <c r="AQ1763" s="4"/>
      <c r="AR1763" s="4"/>
      <c r="AS1763" s="4"/>
      <c r="AT1763" s="4"/>
      <c r="AU1763" s="4"/>
      <c r="AV1763" s="4"/>
    </row>
    <row r="1764" spans="4:48" x14ac:dyDescent="0.3">
      <c r="D1764" s="5"/>
      <c r="E1764" s="5"/>
      <c r="F1764" s="20"/>
      <c r="G1764" s="20"/>
      <c r="H1764" s="5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4"/>
      <c r="T1764" s="4"/>
      <c r="U1764" s="4"/>
      <c r="V1764" s="4"/>
      <c r="W1764" s="4"/>
      <c r="X1764" s="4"/>
      <c r="Y1764" s="4"/>
      <c r="Z1764" s="4"/>
      <c r="AA1764" s="4"/>
      <c r="AB1764" s="4"/>
      <c r="AC1764" s="4"/>
      <c r="AD1764" s="4"/>
      <c r="AE1764" s="4"/>
      <c r="AF1764" s="4"/>
      <c r="AG1764" s="4"/>
      <c r="AH1764" s="4"/>
      <c r="AI1764" s="4"/>
      <c r="AJ1764" s="4"/>
      <c r="AK1764" s="4"/>
      <c r="AL1764" s="4"/>
      <c r="AM1764" s="4"/>
      <c r="AN1764" s="4"/>
      <c r="AO1764" s="4"/>
      <c r="AP1764" s="4"/>
      <c r="AQ1764" s="4"/>
      <c r="AR1764" s="4"/>
      <c r="AS1764" s="4"/>
      <c r="AT1764" s="4"/>
      <c r="AU1764" s="4"/>
      <c r="AV1764" s="4"/>
    </row>
    <row r="1765" spans="4:48" x14ac:dyDescent="0.3">
      <c r="D1765" s="5"/>
      <c r="E1765" s="5"/>
      <c r="F1765" s="20"/>
      <c r="G1765" s="20"/>
      <c r="H1765" s="5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4"/>
      <c r="T1765" s="4"/>
      <c r="U1765" s="4"/>
      <c r="V1765" s="4"/>
      <c r="W1765" s="4"/>
      <c r="X1765" s="4"/>
      <c r="Y1765" s="4"/>
      <c r="Z1765" s="4"/>
      <c r="AA1765" s="4"/>
      <c r="AB1765" s="4"/>
      <c r="AC1765" s="4"/>
      <c r="AD1765" s="4"/>
      <c r="AE1765" s="4"/>
      <c r="AF1765" s="4"/>
      <c r="AG1765" s="4"/>
      <c r="AH1765" s="4"/>
      <c r="AI1765" s="4"/>
      <c r="AJ1765" s="4"/>
      <c r="AK1765" s="4"/>
      <c r="AL1765" s="4"/>
      <c r="AM1765" s="4"/>
      <c r="AN1765" s="4"/>
      <c r="AO1765" s="4"/>
      <c r="AP1765" s="4"/>
      <c r="AQ1765" s="4"/>
      <c r="AR1765" s="4"/>
      <c r="AS1765" s="4"/>
      <c r="AT1765" s="4"/>
      <c r="AU1765" s="4"/>
      <c r="AV1765" s="4"/>
    </row>
    <row r="1766" spans="4:48" x14ac:dyDescent="0.3">
      <c r="D1766" s="5"/>
      <c r="E1766" s="5"/>
      <c r="F1766" s="20"/>
      <c r="G1766" s="20"/>
      <c r="H1766" s="5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4"/>
      <c r="T1766" s="4"/>
      <c r="U1766" s="4"/>
      <c r="V1766" s="4"/>
      <c r="W1766" s="4"/>
      <c r="X1766" s="4"/>
      <c r="Y1766" s="4"/>
      <c r="Z1766" s="4"/>
      <c r="AA1766" s="4"/>
      <c r="AB1766" s="4"/>
      <c r="AC1766" s="4"/>
      <c r="AD1766" s="4"/>
      <c r="AE1766" s="4"/>
      <c r="AF1766" s="4"/>
      <c r="AG1766" s="4"/>
      <c r="AH1766" s="4"/>
      <c r="AI1766" s="4"/>
      <c r="AJ1766" s="4"/>
      <c r="AK1766" s="4"/>
      <c r="AL1766" s="4"/>
      <c r="AM1766" s="4"/>
      <c r="AN1766" s="4"/>
      <c r="AO1766" s="4"/>
      <c r="AP1766" s="4"/>
      <c r="AQ1766" s="4"/>
      <c r="AR1766" s="4"/>
      <c r="AS1766" s="4"/>
      <c r="AT1766" s="4"/>
      <c r="AU1766" s="4"/>
      <c r="AV1766" s="4"/>
    </row>
    <row r="1767" spans="4:48" x14ac:dyDescent="0.3">
      <c r="D1767" s="5"/>
      <c r="E1767" s="5"/>
      <c r="F1767" s="20"/>
      <c r="G1767" s="20"/>
      <c r="H1767" s="5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4"/>
      <c r="T1767" s="4"/>
      <c r="U1767" s="4"/>
      <c r="V1767" s="4"/>
      <c r="W1767" s="4"/>
      <c r="X1767" s="4"/>
      <c r="Y1767" s="4"/>
      <c r="Z1767" s="4"/>
      <c r="AA1767" s="4"/>
      <c r="AB1767" s="4"/>
      <c r="AC1767" s="4"/>
      <c r="AD1767" s="4"/>
      <c r="AE1767" s="4"/>
      <c r="AF1767" s="4"/>
      <c r="AG1767" s="4"/>
      <c r="AH1767" s="4"/>
      <c r="AI1767" s="4"/>
      <c r="AJ1767" s="4"/>
      <c r="AK1767" s="4"/>
      <c r="AL1767" s="4"/>
      <c r="AM1767" s="4"/>
      <c r="AN1767" s="4"/>
      <c r="AO1767" s="4"/>
      <c r="AP1767" s="4"/>
      <c r="AQ1767" s="4"/>
      <c r="AR1767" s="4"/>
      <c r="AS1767" s="4"/>
      <c r="AT1767" s="4"/>
      <c r="AU1767" s="4"/>
      <c r="AV1767" s="4"/>
    </row>
    <row r="1768" spans="4:48" x14ac:dyDescent="0.3">
      <c r="D1768" s="5"/>
      <c r="E1768" s="5"/>
      <c r="F1768" s="20"/>
      <c r="G1768" s="20"/>
      <c r="H1768" s="5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4"/>
      <c r="T1768" s="4"/>
      <c r="U1768" s="4"/>
      <c r="V1768" s="4"/>
      <c r="W1768" s="4"/>
      <c r="X1768" s="4"/>
      <c r="Y1768" s="4"/>
      <c r="Z1768" s="4"/>
      <c r="AA1768" s="4"/>
      <c r="AB1768" s="4"/>
      <c r="AC1768" s="4"/>
      <c r="AD1768" s="4"/>
      <c r="AE1768" s="4"/>
      <c r="AF1768" s="4"/>
      <c r="AG1768" s="4"/>
      <c r="AH1768" s="4"/>
      <c r="AI1768" s="4"/>
      <c r="AJ1768" s="4"/>
      <c r="AK1768" s="4"/>
      <c r="AL1768" s="4"/>
      <c r="AM1768" s="4"/>
      <c r="AN1768" s="4"/>
      <c r="AO1768" s="4"/>
      <c r="AP1768" s="4"/>
      <c r="AQ1768" s="4"/>
      <c r="AR1768" s="4"/>
      <c r="AS1768" s="4"/>
      <c r="AT1768" s="4"/>
      <c r="AU1768" s="4"/>
      <c r="AV1768" s="4"/>
    </row>
    <row r="1769" spans="4:48" x14ac:dyDescent="0.3">
      <c r="D1769" s="5"/>
      <c r="E1769" s="5"/>
      <c r="F1769" s="20"/>
      <c r="G1769" s="20"/>
      <c r="H1769" s="5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4"/>
      <c r="T1769" s="4"/>
      <c r="U1769" s="4"/>
      <c r="V1769" s="4"/>
      <c r="W1769" s="4"/>
      <c r="X1769" s="4"/>
      <c r="Y1769" s="4"/>
      <c r="Z1769" s="4"/>
      <c r="AA1769" s="4"/>
      <c r="AB1769" s="4"/>
      <c r="AC1769" s="4"/>
      <c r="AD1769" s="4"/>
      <c r="AE1769" s="4"/>
      <c r="AF1769" s="4"/>
      <c r="AG1769" s="4"/>
      <c r="AH1769" s="4"/>
      <c r="AI1769" s="4"/>
      <c r="AJ1769" s="4"/>
      <c r="AK1769" s="4"/>
      <c r="AL1769" s="4"/>
      <c r="AM1769" s="4"/>
      <c r="AN1769" s="4"/>
      <c r="AO1769" s="4"/>
      <c r="AP1769" s="4"/>
      <c r="AQ1769" s="4"/>
      <c r="AR1769" s="4"/>
      <c r="AS1769" s="4"/>
      <c r="AT1769" s="4"/>
      <c r="AU1769" s="4"/>
      <c r="AV1769" s="4"/>
    </row>
    <row r="1770" spans="4:48" x14ac:dyDescent="0.3">
      <c r="D1770" s="5"/>
      <c r="E1770" s="5"/>
      <c r="F1770" s="20"/>
      <c r="G1770" s="20"/>
      <c r="H1770" s="5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4"/>
      <c r="T1770" s="4"/>
      <c r="U1770" s="4"/>
      <c r="V1770" s="4"/>
      <c r="W1770" s="4"/>
      <c r="X1770" s="4"/>
      <c r="Y1770" s="4"/>
      <c r="Z1770" s="4"/>
      <c r="AA1770" s="4"/>
      <c r="AB1770" s="4"/>
      <c r="AC1770" s="4"/>
      <c r="AD1770" s="4"/>
      <c r="AE1770" s="4"/>
      <c r="AF1770" s="4"/>
      <c r="AG1770" s="4"/>
      <c r="AH1770" s="4"/>
      <c r="AI1770" s="4"/>
      <c r="AJ1770" s="4"/>
      <c r="AK1770" s="4"/>
      <c r="AL1770" s="4"/>
      <c r="AM1770" s="4"/>
      <c r="AN1770" s="4"/>
      <c r="AO1770" s="4"/>
      <c r="AP1770" s="4"/>
      <c r="AQ1770" s="4"/>
      <c r="AR1770" s="4"/>
      <c r="AS1770" s="4"/>
      <c r="AT1770" s="4"/>
      <c r="AU1770" s="4"/>
      <c r="AV1770" s="4"/>
    </row>
    <row r="1771" spans="4:48" x14ac:dyDescent="0.3">
      <c r="D1771" s="5"/>
      <c r="E1771" s="5"/>
      <c r="F1771" s="20"/>
      <c r="G1771" s="20"/>
      <c r="H1771" s="5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4"/>
      <c r="T1771" s="4"/>
      <c r="U1771" s="4"/>
      <c r="V1771" s="4"/>
      <c r="W1771" s="4"/>
      <c r="X1771" s="4"/>
      <c r="Y1771" s="4"/>
      <c r="Z1771" s="4"/>
      <c r="AA1771" s="4"/>
      <c r="AB1771" s="4"/>
      <c r="AC1771" s="4"/>
      <c r="AD1771" s="4"/>
      <c r="AE1771" s="4"/>
      <c r="AF1771" s="4"/>
      <c r="AG1771" s="4"/>
      <c r="AH1771" s="4"/>
      <c r="AI1771" s="4"/>
      <c r="AJ1771" s="4"/>
      <c r="AK1771" s="4"/>
      <c r="AL1771" s="4"/>
      <c r="AM1771" s="4"/>
      <c r="AN1771" s="4"/>
      <c r="AO1771" s="4"/>
      <c r="AP1771" s="4"/>
      <c r="AQ1771" s="4"/>
      <c r="AR1771" s="4"/>
      <c r="AS1771" s="4"/>
      <c r="AT1771" s="4"/>
      <c r="AU1771" s="4"/>
      <c r="AV1771" s="4"/>
    </row>
    <row r="1772" spans="4:48" x14ac:dyDescent="0.3">
      <c r="D1772" s="5"/>
      <c r="E1772" s="5"/>
      <c r="F1772" s="20"/>
      <c r="G1772" s="20"/>
      <c r="H1772" s="5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4"/>
      <c r="T1772" s="4"/>
      <c r="U1772" s="4"/>
      <c r="V1772" s="4"/>
      <c r="W1772" s="4"/>
      <c r="X1772" s="4"/>
      <c r="Y1772" s="4"/>
      <c r="Z1772" s="4"/>
      <c r="AA1772" s="4"/>
      <c r="AB1772" s="4"/>
      <c r="AC1772" s="4"/>
      <c r="AD1772" s="4"/>
      <c r="AE1772" s="4"/>
      <c r="AF1772" s="4"/>
      <c r="AG1772" s="4"/>
      <c r="AH1772" s="4"/>
      <c r="AI1772" s="4"/>
      <c r="AJ1772" s="4"/>
      <c r="AK1772" s="4"/>
      <c r="AL1772" s="4"/>
      <c r="AM1772" s="4"/>
      <c r="AN1772" s="4"/>
      <c r="AO1772" s="4"/>
      <c r="AP1772" s="4"/>
      <c r="AQ1772" s="4"/>
      <c r="AR1772" s="4"/>
      <c r="AS1772" s="4"/>
      <c r="AT1772" s="4"/>
      <c r="AU1772" s="4"/>
      <c r="AV1772" s="4"/>
    </row>
    <row r="1773" spans="4:48" x14ac:dyDescent="0.3">
      <c r="D1773" s="5"/>
      <c r="E1773" s="5"/>
      <c r="F1773" s="20"/>
      <c r="G1773" s="20"/>
      <c r="H1773" s="5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4"/>
      <c r="T1773" s="4"/>
      <c r="U1773" s="4"/>
      <c r="V1773" s="4"/>
      <c r="W1773" s="4"/>
      <c r="X1773" s="4"/>
      <c r="Y1773" s="4"/>
      <c r="Z1773" s="4"/>
      <c r="AA1773" s="4"/>
      <c r="AB1773" s="4"/>
      <c r="AC1773" s="4"/>
      <c r="AD1773" s="4"/>
      <c r="AE1773" s="4"/>
      <c r="AF1773" s="4"/>
      <c r="AG1773" s="4"/>
      <c r="AH1773" s="4"/>
      <c r="AI1773" s="4"/>
      <c r="AJ1773" s="4"/>
      <c r="AK1773" s="4"/>
      <c r="AL1773" s="4"/>
      <c r="AM1773" s="4"/>
      <c r="AN1773" s="4"/>
      <c r="AO1773" s="4"/>
      <c r="AP1773" s="4"/>
      <c r="AQ1773" s="4"/>
      <c r="AR1773" s="4"/>
      <c r="AS1773" s="4"/>
      <c r="AT1773" s="4"/>
      <c r="AU1773" s="4"/>
      <c r="AV1773" s="4"/>
    </row>
    <row r="1774" spans="4:48" x14ac:dyDescent="0.3">
      <c r="D1774" s="5"/>
      <c r="E1774" s="5"/>
      <c r="F1774" s="20"/>
      <c r="G1774" s="20"/>
      <c r="H1774" s="5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4"/>
      <c r="T1774" s="4"/>
      <c r="U1774" s="4"/>
      <c r="V1774" s="4"/>
      <c r="W1774" s="4"/>
      <c r="X1774" s="4"/>
      <c r="Y1774" s="4"/>
      <c r="Z1774" s="4"/>
      <c r="AA1774" s="4"/>
      <c r="AB1774" s="4"/>
      <c r="AC1774" s="4"/>
      <c r="AD1774" s="4"/>
      <c r="AE1774" s="4"/>
      <c r="AF1774" s="4"/>
      <c r="AG1774" s="4"/>
      <c r="AH1774" s="4"/>
      <c r="AI1774" s="4"/>
      <c r="AJ1774" s="4"/>
      <c r="AK1774" s="4"/>
      <c r="AL1774" s="4"/>
      <c r="AM1774" s="4"/>
      <c r="AN1774" s="4"/>
      <c r="AO1774" s="4"/>
      <c r="AP1774" s="4"/>
      <c r="AQ1774" s="4"/>
      <c r="AR1774" s="4"/>
      <c r="AS1774" s="4"/>
      <c r="AT1774" s="4"/>
      <c r="AU1774" s="4"/>
      <c r="AV1774" s="4"/>
    </row>
    <row r="1775" spans="4:48" x14ac:dyDescent="0.3">
      <c r="D1775" s="5"/>
      <c r="E1775" s="5"/>
      <c r="F1775" s="20"/>
      <c r="G1775" s="20"/>
      <c r="H1775" s="5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4"/>
      <c r="T1775" s="4"/>
      <c r="U1775" s="4"/>
      <c r="V1775" s="4"/>
      <c r="W1775" s="4"/>
      <c r="X1775" s="4"/>
      <c r="Y1775" s="4"/>
      <c r="Z1775" s="4"/>
      <c r="AA1775" s="4"/>
      <c r="AB1775" s="4"/>
      <c r="AC1775" s="4"/>
      <c r="AD1775" s="4"/>
      <c r="AE1775" s="4"/>
      <c r="AF1775" s="4"/>
      <c r="AG1775" s="4"/>
      <c r="AH1775" s="4"/>
      <c r="AI1775" s="4"/>
      <c r="AJ1775" s="4"/>
      <c r="AK1775" s="4"/>
      <c r="AL1775" s="4"/>
      <c r="AM1775" s="4"/>
      <c r="AN1775" s="4"/>
      <c r="AO1775" s="4"/>
      <c r="AP1775" s="4"/>
      <c r="AQ1775" s="4"/>
      <c r="AR1775" s="4"/>
      <c r="AS1775" s="4"/>
      <c r="AT1775" s="4"/>
      <c r="AU1775" s="4"/>
      <c r="AV1775" s="4"/>
    </row>
    <row r="1776" spans="4:48" x14ac:dyDescent="0.3">
      <c r="D1776" s="5"/>
      <c r="E1776" s="5"/>
      <c r="F1776" s="20"/>
      <c r="G1776" s="20"/>
      <c r="H1776" s="5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4"/>
      <c r="T1776" s="4"/>
      <c r="U1776" s="4"/>
      <c r="V1776" s="4"/>
      <c r="W1776" s="4"/>
      <c r="X1776" s="4"/>
      <c r="Y1776" s="4"/>
      <c r="Z1776" s="4"/>
      <c r="AA1776" s="4"/>
      <c r="AB1776" s="4"/>
      <c r="AC1776" s="4"/>
      <c r="AD1776" s="4"/>
      <c r="AE1776" s="4"/>
      <c r="AF1776" s="4"/>
      <c r="AG1776" s="4"/>
      <c r="AH1776" s="4"/>
      <c r="AI1776" s="4"/>
      <c r="AJ1776" s="4"/>
      <c r="AK1776" s="4"/>
      <c r="AL1776" s="4"/>
      <c r="AM1776" s="4"/>
      <c r="AN1776" s="4"/>
      <c r="AO1776" s="4"/>
      <c r="AP1776" s="4"/>
      <c r="AQ1776" s="4"/>
      <c r="AR1776" s="4"/>
      <c r="AS1776" s="4"/>
      <c r="AT1776" s="4"/>
      <c r="AU1776" s="4"/>
      <c r="AV1776" s="4"/>
    </row>
    <row r="1777" spans="4:48" x14ac:dyDescent="0.3">
      <c r="D1777" s="5"/>
      <c r="E1777" s="5"/>
      <c r="F1777" s="20"/>
      <c r="G1777" s="20"/>
      <c r="H1777" s="5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4"/>
      <c r="T1777" s="4"/>
      <c r="U1777" s="4"/>
      <c r="V1777" s="4"/>
      <c r="W1777" s="4"/>
      <c r="X1777" s="4"/>
      <c r="Y1777" s="4"/>
      <c r="Z1777" s="4"/>
      <c r="AA1777" s="4"/>
      <c r="AB1777" s="4"/>
      <c r="AC1777" s="4"/>
      <c r="AD1777" s="4"/>
      <c r="AE1777" s="4"/>
      <c r="AF1777" s="4"/>
      <c r="AG1777" s="4"/>
      <c r="AH1777" s="4"/>
      <c r="AI1777" s="4"/>
      <c r="AJ1777" s="4"/>
      <c r="AK1777" s="4"/>
      <c r="AL1777" s="4"/>
      <c r="AM1777" s="4"/>
      <c r="AN1777" s="4"/>
      <c r="AO1777" s="4"/>
      <c r="AP1777" s="4"/>
      <c r="AQ1777" s="4"/>
      <c r="AR1777" s="4"/>
      <c r="AS1777" s="4"/>
      <c r="AT1777" s="4"/>
      <c r="AU1777" s="4"/>
      <c r="AV1777" s="4"/>
    </row>
    <row r="1778" spans="4:48" x14ac:dyDescent="0.3">
      <c r="D1778" s="5"/>
      <c r="E1778" s="5"/>
      <c r="F1778" s="20"/>
      <c r="G1778" s="20"/>
      <c r="H1778" s="5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4"/>
      <c r="T1778" s="4"/>
      <c r="U1778" s="4"/>
      <c r="V1778" s="4"/>
      <c r="W1778" s="4"/>
      <c r="X1778" s="4"/>
      <c r="Y1778" s="4"/>
      <c r="Z1778" s="4"/>
      <c r="AA1778" s="4"/>
      <c r="AB1778" s="4"/>
      <c r="AC1778" s="4"/>
      <c r="AD1778" s="4"/>
      <c r="AE1778" s="4"/>
      <c r="AF1778" s="4"/>
      <c r="AG1778" s="4"/>
      <c r="AH1778" s="4"/>
      <c r="AI1778" s="4"/>
      <c r="AJ1778" s="4"/>
      <c r="AK1778" s="4"/>
      <c r="AL1778" s="4"/>
      <c r="AM1778" s="4"/>
      <c r="AN1778" s="4"/>
      <c r="AO1778" s="4"/>
      <c r="AP1778" s="4"/>
      <c r="AQ1778" s="4"/>
      <c r="AR1778" s="4"/>
      <c r="AS1778" s="4"/>
      <c r="AT1778" s="4"/>
      <c r="AU1778" s="4"/>
      <c r="AV1778" s="4"/>
    </row>
    <row r="1779" spans="4:48" x14ac:dyDescent="0.3">
      <c r="D1779" s="5"/>
      <c r="E1779" s="5"/>
      <c r="F1779" s="20"/>
      <c r="G1779" s="20"/>
      <c r="H1779" s="5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4"/>
      <c r="T1779" s="4"/>
      <c r="U1779" s="4"/>
      <c r="V1779" s="4"/>
      <c r="W1779" s="4"/>
      <c r="X1779" s="4"/>
      <c r="Y1779" s="4"/>
      <c r="Z1779" s="4"/>
      <c r="AA1779" s="4"/>
      <c r="AB1779" s="4"/>
      <c r="AC1779" s="4"/>
      <c r="AD1779" s="4"/>
      <c r="AE1779" s="4"/>
      <c r="AF1779" s="4"/>
      <c r="AG1779" s="4"/>
      <c r="AH1779" s="4"/>
      <c r="AI1779" s="4"/>
      <c r="AJ1779" s="4"/>
      <c r="AK1779" s="4"/>
      <c r="AL1779" s="4"/>
      <c r="AM1779" s="4"/>
      <c r="AN1779" s="4"/>
      <c r="AO1779" s="4"/>
      <c r="AP1779" s="4"/>
      <c r="AQ1779" s="4"/>
      <c r="AR1779" s="4"/>
      <c r="AS1779" s="4"/>
      <c r="AT1779" s="4"/>
      <c r="AU1779" s="4"/>
      <c r="AV1779" s="4"/>
    </row>
    <row r="1780" spans="4:48" x14ac:dyDescent="0.3">
      <c r="D1780" s="5"/>
      <c r="E1780" s="5"/>
      <c r="F1780" s="20"/>
      <c r="G1780" s="20"/>
      <c r="H1780" s="5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4"/>
      <c r="T1780" s="4"/>
      <c r="U1780" s="4"/>
      <c r="V1780" s="4"/>
      <c r="W1780" s="4"/>
      <c r="X1780" s="4"/>
      <c r="Y1780" s="4"/>
      <c r="Z1780" s="4"/>
      <c r="AA1780" s="4"/>
      <c r="AB1780" s="4"/>
      <c r="AC1780" s="4"/>
      <c r="AD1780" s="4"/>
      <c r="AE1780" s="4"/>
      <c r="AF1780" s="4"/>
      <c r="AG1780" s="4"/>
      <c r="AH1780" s="4"/>
      <c r="AI1780" s="4"/>
      <c r="AJ1780" s="4"/>
      <c r="AK1780" s="4"/>
      <c r="AL1780" s="4"/>
      <c r="AM1780" s="4"/>
      <c r="AN1780" s="4"/>
      <c r="AO1780" s="4"/>
      <c r="AP1780" s="4"/>
      <c r="AQ1780" s="4"/>
      <c r="AR1780" s="4"/>
      <c r="AS1780" s="4"/>
      <c r="AT1780" s="4"/>
      <c r="AU1780" s="4"/>
      <c r="AV1780" s="4"/>
    </row>
    <row r="1781" spans="4:48" x14ac:dyDescent="0.3">
      <c r="D1781" s="5"/>
      <c r="E1781" s="5"/>
      <c r="F1781" s="20"/>
      <c r="G1781" s="20"/>
      <c r="H1781" s="5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4"/>
      <c r="T1781" s="4"/>
      <c r="U1781" s="4"/>
      <c r="V1781" s="4"/>
      <c r="W1781" s="4"/>
      <c r="X1781" s="4"/>
      <c r="Y1781" s="4"/>
      <c r="Z1781" s="4"/>
      <c r="AA1781" s="4"/>
      <c r="AB1781" s="4"/>
      <c r="AC1781" s="4"/>
      <c r="AD1781" s="4"/>
      <c r="AE1781" s="4"/>
      <c r="AF1781" s="4"/>
      <c r="AG1781" s="4"/>
      <c r="AH1781" s="4"/>
      <c r="AI1781" s="4"/>
      <c r="AJ1781" s="4"/>
      <c r="AK1781" s="4"/>
      <c r="AL1781" s="4"/>
      <c r="AM1781" s="4"/>
      <c r="AN1781" s="4"/>
      <c r="AO1781" s="4"/>
      <c r="AP1781" s="4"/>
      <c r="AQ1781" s="4"/>
      <c r="AR1781" s="4"/>
      <c r="AS1781" s="4"/>
      <c r="AT1781" s="4"/>
      <c r="AU1781" s="4"/>
      <c r="AV1781" s="4"/>
    </row>
    <row r="1782" spans="4:48" x14ac:dyDescent="0.3">
      <c r="D1782" s="5"/>
      <c r="E1782" s="5"/>
      <c r="F1782" s="20"/>
      <c r="G1782" s="20"/>
      <c r="H1782" s="5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4"/>
      <c r="T1782" s="4"/>
      <c r="U1782" s="4"/>
      <c r="V1782" s="4"/>
      <c r="W1782" s="4"/>
      <c r="X1782" s="4"/>
      <c r="Y1782" s="4"/>
      <c r="Z1782" s="4"/>
      <c r="AA1782" s="4"/>
      <c r="AB1782" s="4"/>
      <c r="AC1782" s="4"/>
      <c r="AD1782" s="4"/>
      <c r="AE1782" s="4"/>
      <c r="AF1782" s="4"/>
      <c r="AG1782" s="4"/>
      <c r="AH1782" s="4"/>
      <c r="AI1782" s="4"/>
      <c r="AJ1782" s="4"/>
      <c r="AK1782" s="4"/>
      <c r="AL1782" s="4"/>
      <c r="AM1782" s="4"/>
      <c r="AN1782" s="4"/>
      <c r="AO1782" s="4"/>
      <c r="AP1782" s="4"/>
      <c r="AQ1782" s="4"/>
      <c r="AR1782" s="4"/>
      <c r="AS1782" s="4"/>
      <c r="AT1782" s="4"/>
      <c r="AU1782" s="4"/>
      <c r="AV1782" s="4"/>
    </row>
    <row r="1783" spans="4:48" x14ac:dyDescent="0.3">
      <c r="D1783" s="5"/>
      <c r="E1783" s="5"/>
      <c r="F1783" s="20"/>
      <c r="G1783" s="20"/>
      <c r="H1783" s="5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4"/>
      <c r="T1783" s="4"/>
      <c r="U1783" s="4"/>
      <c r="V1783" s="4"/>
      <c r="W1783" s="4"/>
      <c r="X1783" s="4"/>
      <c r="Y1783" s="4"/>
      <c r="Z1783" s="4"/>
      <c r="AA1783" s="4"/>
      <c r="AB1783" s="4"/>
      <c r="AC1783" s="4"/>
      <c r="AD1783" s="4"/>
      <c r="AE1783" s="4"/>
      <c r="AF1783" s="4"/>
      <c r="AG1783" s="4"/>
      <c r="AH1783" s="4"/>
      <c r="AI1783" s="4"/>
      <c r="AJ1783" s="4"/>
      <c r="AK1783" s="4"/>
      <c r="AL1783" s="4"/>
      <c r="AM1783" s="4"/>
      <c r="AN1783" s="4"/>
      <c r="AO1783" s="4"/>
      <c r="AP1783" s="4"/>
      <c r="AQ1783" s="4"/>
      <c r="AR1783" s="4"/>
      <c r="AS1783" s="4"/>
      <c r="AT1783" s="4"/>
      <c r="AU1783" s="4"/>
      <c r="AV1783" s="4"/>
    </row>
    <row r="1784" spans="4:48" x14ac:dyDescent="0.3">
      <c r="D1784" s="5"/>
      <c r="E1784" s="5"/>
      <c r="F1784" s="20"/>
      <c r="G1784" s="20"/>
      <c r="H1784" s="5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4"/>
      <c r="T1784" s="4"/>
      <c r="U1784" s="4"/>
      <c r="V1784" s="4"/>
      <c r="W1784" s="4"/>
      <c r="X1784" s="4"/>
      <c r="Y1784" s="4"/>
      <c r="Z1784" s="4"/>
      <c r="AA1784" s="4"/>
      <c r="AB1784" s="4"/>
      <c r="AC1784" s="4"/>
      <c r="AD1784" s="4"/>
      <c r="AE1784" s="4"/>
      <c r="AF1784" s="4"/>
      <c r="AG1784" s="4"/>
      <c r="AH1784" s="4"/>
      <c r="AI1784" s="4"/>
      <c r="AJ1784" s="4"/>
      <c r="AK1784" s="4"/>
      <c r="AL1784" s="4"/>
      <c r="AM1784" s="4"/>
      <c r="AN1784" s="4"/>
      <c r="AO1784" s="4"/>
      <c r="AP1784" s="4"/>
      <c r="AQ1784" s="4"/>
      <c r="AR1784" s="4"/>
      <c r="AS1784" s="4"/>
      <c r="AT1784" s="4"/>
      <c r="AU1784" s="4"/>
      <c r="AV1784" s="4"/>
    </row>
    <row r="1785" spans="4:48" x14ac:dyDescent="0.3">
      <c r="D1785" s="5"/>
      <c r="E1785" s="5"/>
      <c r="F1785" s="20"/>
      <c r="G1785" s="20"/>
      <c r="H1785" s="5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4"/>
      <c r="T1785" s="4"/>
      <c r="U1785" s="4"/>
      <c r="V1785" s="4"/>
      <c r="W1785" s="4"/>
      <c r="X1785" s="4"/>
      <c r="Y1785" s="4"/>
      <c r="Z1785" s="4"/>
      <c r="AA1785" s="4"/>
      <c r="AB1785" s="4"/>
      <c r="AC1785" s="4"/>
      <c r="AD1785" s="4"/>
      <c r="AE1785" s="4"/>
      <c r="AF1785" s="4"/>
      <c r="AG1785" s="4"/>
      <c r="AH1785" s="4"/>
      <c r="AI1785" s="4"/>
      <c r="AJ1785" s="4"/>
      <c r="AK1785" s="4"/>
      <c r="AL1785" s="4"/>
      <c r="AM1785" s="4"/>
      <c r="AN1785" s="4"/>
      <c r="AO1785" s="4"/>
      <c r="AP1785" s="4"/>
      <c r="AQ1785" s="4"/>
      <c r="AR1785" s="4"/>
      <c r="AS1785" s="4"/>
      <c r="AT1785" s="4"/>
      <c r="AU1785" s="4"/>
      <c r="AV1785" s="4"/>
    </row>
    <row r="1786" spans="4:48" x14ac:dyDescent="0.3">
      <c r="D1786" s="5"/>
      <c r="E1786" s="5"/>
      <c r="F1786" s="20"/>
      <c r="G1786" s="20"/>
      <c r="H1786" s="5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4"/>
      <c r="T1786" s="4"/>
      <c r="U1786" s="4"/>
      <c r="V1786" s="4"/>
      <c r="W1786" s="4"/>
      <c r="X1786" s="4"/>
      <c r="Y1786" s="4"/>
      <c r="Z1786" s="4"/>
      <c r="AA1786" s="4"/>
      <c r="AB1786" s="4"/>
      <c r="AC1786" s="4"/>
      <c r="AD1786" s="4"/>
      <c r="AE1786" s="4"/>
      <c r="AF1786" s="4"/>
      <c r="AG1786" s="4"/>
      <c r="AH1786" s="4"/>
      <c r="AI1786" s="4"/>
      <c r="AJ1786" s="4"/>
      <c r="AK1786" s="4"/>
      <c r="AL1786" s="4"/>
      <c r="AM1786" s="4"/>
      <c r="AN1786" s="4"/>
      <c r="AO1786" s="4"/>
      <c r="AP1786" s="4"/>
      <c r="AQ1786" s="4"/>
      <c r="AR1786" s="4"/>
      <c r="AS1786" s="4"/>
      <c r="AT1786" s="4"/>
      <c r="AU1786" s="4"/>
      <c r="AV1786" s="4"/>
    </row>
    <row r="1787" spans="4:48" x14ac:dyDescent="0.3">
      <c r="D1787" s="5"/>
      <c r="E1787" s="5"/>
      <c r="F1787" s="20"/>
      <c r="G1787" s="20"/>
      <c r="H1787" s="5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4"/>
      <c r="T1787" s="4"/>
      <c r="U1787" s="4"/>
      <c r="V1787" s="4"/>
      <c r="W1787" s="4"/>
      <c r="X1787" s="4"/>
      <c r="Y1787" s="4"/>
      <c r="Z1787" s="4"/>
      <c r="AA1787" s="4"/>
      <c r="AB1787" s="4"/>
      <c r="AC1787" s="4"/>
      <c r="AD1787" s="4"/>
      <c r="AE1787" s="4"/>
      <c r="AF1787" s="4"/>
      <c r="AG1787" s="4"/>
      <c r="AH1787" s="4"/>
      <c r="AI1787" s="4"/>
      <c r="AJ1787" s="4"/>
      <c r="AK1787" s="4"/>
      <c r="AL1787" s="4"/>
      <c r="AM1787" s="4"/>
      <c r="AN1787" s="4"/>
      <c r="AO1787" s="4"/>
      <c r="AP1787" s="4"/>
      <c r="AQ1787" s="4"/>
      <c r="AR1787" s="4"/>
      <c r="AS1787" s="4"/>
      <c r="AT1787" s="4"/>
      <c r="AU1787" s="4"/>
      <c r="AV1787" s="4"/>
    </row>
    <row r="1788" spans="4:48" x14ac:dyDescent="0.3">
      <c r="D1788" s="5"/>
      <c r="E1788" s="5"/>
      <c r="F1788" s="20"/>
      <c r="G1788" s="20"/>
      <c r="H1788" s="5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4"/>
      <c r="T1788" s="4"/>
      <c r="U1788" s="4"/>
      <c r="V1788" s="4"/>
      <c r="W1788" s="4"/>
      <c r="X1788" s="4"/>
      <c r="Y1788" s="4"/>
      <c r="Z1788" s="4"/>
      <c r="AA1788" s="4"/>
      <c r="AB1788" s="4"/>
      <c r="AC1788" s="4"/>
      <c r="AD1788" s="4"/>
      <c r="AE1788" s="4"/>
      <c r="AF1788" s="4"/>
      <c r="AG1788" s="4"/>
      <c r="AH1788" s="4"/>
      <c r="AI1788" s="4"/>
      <c r="AJ1788" s="4"/>
      <c r="AK1788" s="4"/>
      <c r="AL1788" s="4"/>
      <c r="AM1788" s="4"/>
      <c r="AN1788" s="4"/>
      <c r="AO1788" s="4"/>
      <c r="AP1788" s="4"/>
      <c r="AQ1788" s="4"/>
      <c r="AR1788" s="4"/>
      <c r="AS1788" s="4"/>
      <c r="AT1788" s="4"/>
      <c r="AU1788" s="4"/>
      <c r="AV1788" s="4"/>
    </row>
    <row r="1789" spans="4:48" x14ac:dyDescent="0.3">
      <c r="D1789" s="5"/>
      <c r="E1789" s="5"/>
      <c r="F1789" s="20"/>
      <c r="G1789" s="20"/>
      <c r="H1789" s="5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4"/>
      <c r="T1789" s="4"/>
      <c r="U1789" s="4"/>
      <c r="V1789" s="4"/>
      <c r="W1789" s="4"/>
      <c r="X1789" s="4"/>
      <c r="Y1789" s="4"/>
      <c r="Z1789" s="4"/>
      <c r="AA1789" s="4"/>
      <c r="AB1789" s="4"/>
      <c r="AC1789" s="4"/>
      <c r="AD1789" s="4"/>
      <c r="AE1789" s="4"/>
      <c r="AF1789" s="4"/>
      <c r="AG1789" s="4"/>
      <c r="AH1789" s="4"/>
      <c r="AI1789" s="4"/>
      <c r="AJ1789" s="4"/>
      <c r="AK1789" s="4"/>
      <c r="AL1789" s="4"/>
      <c r="AM1789" s="4"/>
      <c r="AN1789" s="4"/>
      <c r="AO1789" s="4"/>
      <c r="AP1789" s="4"/>
      <c r="AQ1789" s="4"/>
      <c r="AR1789" s="4"/>
      <c r="AS1789" s="4"/>
      <c r="AT1789" s="4"/>
      <c r="AU1789" s="4"/>
      <c r="AV1789" s="4"/>
    </row>
    <row r="1790" spans="4:48" x14ac:dyDescent="0.3">
      <c r="D1790" s="5"/>
      <c r="E1790" s="5"/>
      <c r="F1790" s="20"/>
      <c r="G1790" s="20"/>
      <c r="H1790" s="5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4"/>
      <c r="T1790" s="4"/>
      <c r="U1790" s="4"/>
      <c r="V1790" s="4"/>
      <c r="W1790" s="4"/>
      <c r="X1790" s="4"/>
      <c r="Y1790" s="4"/>
      <c r="Z1790" s="4"/>
      <c r="AA1790" s="4"/>
      <c r="AB1790" s="4"/>
      <c r="AC1790" s="4"/>
      <c r="AD1790" s="4"/>
      <c r="AE1790" s="4"/>
      <c r="AF1790" s="4"/>
      <c r="AG1790" s="4"/>
      <c r="AH1790" s="4"/>
      <c r="AI1790" s="4"/>
      <c r="AJ1790" s="4"/>
      <c r="AK1790" s="4"/>
      <c r="AL1790" s="4"/>
      <c r="AM1790" s="4"/>
      <c r="AN1790" s="4"/>
      <c r="AO1790" s="4"/>
      <c r="AP1790" s="4"/>
      <c r="AQ1790" s="4"/>
      <c r="AR1790" s="4"/>
      <c r="AS1790" s="4"/>
      <c r="AT1790" s="4"/>
      <c r="AU1790" s="4"/>
      <c r="AV1790" s="4"/>
    </row>
    <row r="1791" spans="4:48" x14ac:dyDescent="0.3">
      <c r="D1791" s="5"/>
      <c r="E1791" s="5"/>
      <c r="F1791" s="20"/>
      <c r="G1791" s="20"/>
      <c r="H1791" s="5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4"/>
      <c r="T1791" s="4"/>
      <c r="U1791" s="4"/>
      <c r="V1791" s="4"/>
      <c r="W1791" s="4"/>
      <c r="X1791" s="4"/>
      <c r="Y1791" s="4"/>
      <c r="Z1791" s="4"/>
      <c r="AA1791" s="4"/>
      <c r="AB1791" s="4"/>
      <c r="AC1791" s="4"/>
      <c r="AD1791" s="4"/>
      <c r="AE1791" s="4"/>
      <c r="AF1791" s="4"/>
      <c r="AG1791" s="4"/>
      <c r="AH1791" s="4"/>
      <c r="AI1791" s="4"/>
      <c r="AJ1791" s="4"/>
      <c r="AK1791" s="4"/>
      <c r="AL1791" s="4"/>
      <c r="AM1791" s="4"/>
      <c r="AN1791" s="4"/>
      <c r="AO1791" s="4"/>
      <c r="AP1791" s="4"/>
      <c r="AQ1791" s="4"/>
      <c r="AR1791" s="4"/>
      <c r="AS1791" s="4"/>
      <c r="AT1791" s="4"/>
      <c r="AU1791" s="4"/>
      <c r="AV1791" s="4"/>
    </row>
    <row r="1792" spans="4:48" x14ac:dyDescent="0.3">
      <c r="D1792" s="5"/>
      <c r="E1792" s="5"/>
      <c r="F1792" s="20"/>
      <c r="G1792" s="20"/>
      <c r="H1792" s="5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4"/>
      <c r="T1792" s="4"/>
      <c r="U1792" s="4"/>
      <c r="V1792" s="4"/>
      <c r="W1792" s="4"/>
      <c r="X1792" s="4"/>
      <c r="Y1792" s="4"/>
      <c r="Z1792" s="4"/>
      <c r="AA1792" s="4"/>
      <c r="AB1792" s="4"/>
      <c r="AC1792" s="4"/>
      <c r="AD1792" s="4"/>
      <c r="AE1792" s="4"/>
      <c r="AF1792" s="4"/>
      <c r="AG1792" s="4"/>
      <c r="AH1792" s="4"/>
      <c r="AI1792" s="4"/>
      <c r="AJ1792" s="4"/>
      <c r="AK1792" s="4"/>
      <c r="AL1792" s="4"/>
      <c r="AM1792" s="4"/>
      <c r="AN1792" s="4"/>
      <c r="AO1792" s="4"/>
      <c r="AP1792" s="4"/>
      <c r="AQ1792" s="4"/>
      <c r="AR1792" s="4"/>
      <c r="AS1792" s="4"/>
      <c r="AT1792" s="4"/>
      <c r="AU1792" s="4"/>
      <c r="AV1792" s="4"/>
    </row>
    <row r="1793" spans="4:48" x14ac:dyDescent="0.3">
      <c r="D1793" s="5"/>
      <c r="E1793" s="5"/>
      <c r="F1793" s="20"/>
      <c r="G1793" s="20"/>
      <c r="H1793" s="5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4"/>
      <c r="T1793" s="4"/>
      <c r="U1793" s="4"/>
      <c r="V1793" s="4"/>
      <c r="W1793" s="4"/>
      <c r="X1793" s="4"/>
      <c r="Y1793" s="4"/>
      <c r="Z1793" s="4"/>
      <c r="AA1793" s="4"/>
      <c r="AB1793" s="4"/>
      <c r="AC1793" s="4"/>
      <c r="AD1793" s="4"/>
      <c r="AE1793" s="4"/>
      <c r="AF1793" s="4"/>
      <c r="AG1793" s="4"/>
      <c r="AH1793" s="4"/>
      <c r="AI1793" s="4"/>
      <c r="AJ1793" s="4"/>
      <c r="AK1793" s="4"/>
      <c r="AL1793" s="4"/>
      <c r="AM1793" s="4"/>
      <c r="AN1793" s="4"/>
      <c r="AO1793" s="4"/>
      <c r="AP1793" s="4"/>
      <c r="AQ1793" s="4"/>
      <c r="AR1793" s="4"/>
      <c r="AS1793" s="4"/>
      <c r="AT1793" s="4"/>
      <c r="AU1793" s="4"/>
      <c r="AV1793" s="4"/>
    </row>
    <row r="1794" spans="4:48" x14ac:dyDescent="0.3">
      <c r="D1794" s="5"/>
      <c r="E1794" s="5"/>
      <c r="F1794" s="20"/>
      <c r="G1794" s="20"/>
      <c r="H1794" s="5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4"/>
      <c r="T1794" s="4"/>
      <c r="U1794" s="4"/>
      <c r="V1794" s="4"/>
      <c r="W1794" s="4"/>
      <c r="X1794" s="4"/>
      <c r="Y1794" s="4"/>
      <c r="Z1794" s="4"/>
      <c r="AA1794" s="4"/>
      <c r="AB1794" s="4"/>
      <c r="AC1794" s="4"/>
      <c r="AD1794" s="4"/>
      <c r="AE1794" s="4"/>
      <c r="AF1794" s="4"/>
      <c r="AG1794" s="4"/>
      <c r="AH1794" s="4"/>
      <c r="AI1794" s="4"/>
      <c r="AJ1794" s="4"/>
      <c r="AK1794" s="4"/>
      <c r="AL1794" s="4"/>
      <c r="AM1794" s="4"/>
      <c r="AN1794" s="4"/>
      <c r="AO1794" s="4"/>
      <c r="AP1794" s="4"/>
      <c r="AQ1794" s="4"/>
      <c r="AR1794" s="4"/>
      <c r="AS1794" s="4"/>
      <c r="AT1794" s="4"/>
      <c r="AU1794" s="4"/>
      <c r="AV1794" s="4"/>
    </row>
    <row r="1795" spans="4:48" x14ac:dyDescent="0.3">
      <c r="D1795" s="5"/>
      <c r="E1795" s="5"/>
      <c r="F1795" s="20"/>
      <c r="G1795" s="20"/>
      <c r="H1795" s="5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4"/>
      <c r="T1795" s="4"/>
      <c r="U1795" s="4"/>
      <c r="V1795" s="4"/>
      <c r="W1795" s="4"/>
      <c r="X1795" s="4"/>
      <c r="Y1795" s="4"/>
      <c r="Z1795" s="4"/>
      <c r="AA1795" s="4"/>
      <c r="AB1795" s="4"/>
      <c r="AC1795" s="4"/>
      <c r="AD1795" s="4"/>
      <c r="AE1795" s="4"/>
      <c r="AF1795" s="4"/>
      <c r="AG1795" s="4"/>
      <c r="AH1795" s="4"/>
      <c r="AI1795" s="4"/>
      <c r="AJ1795" s="4"/>
      <c r="AK1795" s="4"/>
      <c r="AL1795" s="4"/>
      <c r="AM1795" s="4"/>
      <c r="AN1795" s="4"/>
      <c r="AO1795" s="4"/>
      <c r="AP1795" s="4"/>
      <c r="AQ1795" s="4"/>
      <c r="AR1795" s="4"/>
      <c r="AS1795" s="4"/>
      <c r="AT1795" s="4"/>
      <c r="AU1795" s="4"/>
      <c r="AV1795" s="4"/>
    </row>
    <row r="1796" spans="4:48" x14ac:dyDescent="0.3">
      <c r="D1796" s="5"/>
      <c r="E1796" s="5"/>
      <c r="F1796" s="20"/>
      <c r="G1796" s="20"/>
      <c r="H1796" s="5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4"/>
      <c r="T1796" s="4"/>
      <c r="U1796" s="4"/>
      <c r="V1796" s="4"/>
      <c r="W1796" s="4"/>
      <c r="X1796" s="4"/>
      <c r="Y1796" s="4"/>
      <c r="Z1796" s="4"/>
      <c r="AA1796" s="4"/>
      <c r="AB1796" s="4"/>
      <c r="AC1796" s="4"/>
      <c r="AD1796" s="4"/>
      <c r="AE1796" s="4"/>
      <c r="AF1796" s="4"/>
      <c r="AG1796" s="4"/>
      <c r="AH1796" s="4"/>
      <c r="AI1796" s="4"/>
      <c r="AJ1796" s="4"/>
      <c r="AK1796" s="4"/>
      <c r="AL1796" s="4"/>
      <c r="AM1796" s="4"/>
      <c r="AN1796" s="4"/>
      <c r="AO1796" s="4"/>
      <c r="AP1796" s="4"/>
      <c r="AQ1796" s="4"/>
      <c r="AR1796" s="4"/>
      <c r="AS1796" s="4"/>
      <c r="AT1796" s="4"/>
      <c r="AU1796" s="4"/>
      <c r="AV1796" s="4"/>
    </row>
    <row r="1797" spans="4:48" x14ac:dyDescent="0.3">
      <c r="D1797" s="5"/>
      <c r="E1797" s="5"/>
      <c r="F1797" s="20"/>
      <c r="G1797" s="20"/>
      <c r="H1797" s="5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4"/>
      <c r="T1797" s="4"/>
      <c r="U1797" s="4"/>
      <c r="V1797" s="4"/>
      <c r="W1797" s="4"/>
      <c r="X1797" s="4"/>
      <c r="Y1797" s="4"/>
      <c r="Z1797" s="4"/>
      <c r="AA1797" s="4"/>
      <c r="AB1797" s="4"/>
      <c r="AC1797" s="4"/>
      <c r="AD1797" s="4"/>
      <c r="AE1797" s="4"/>
      <c r="AF1797" s="4"/>
      <c r="AG1797" s="4"/>
      <c r="AH1797" s="4"/>
      <c r="AI1797" s="4"/>
      <c r="AJ1797" s="4"/>
      <c r="AK1797" s="4"/>
      <c r="AL1797" s="4"/>
      <c r="AM1797" s="4"/>
      <c r="AN1797" s="4"/>
      <c r="AO1797" s="4"/>
      <c r="AP1797" s="4"/>
      <c r="AQ1797" s="4"/>
      <c r="AR1797" s="4"/>
      <c r="AS1797" s="4"/>
      <c r="AT1797" s="4"/>
      <c r="AU1797" s="4"/>
      <c r="AV1797" s="4"/>
    </row>
    <row r="1798" spans="4:48" x14ac:dyDescent="0.3">
      <c r="D1798" s="5"/>
      <c r="E1798" s="5"/>
      <c r="F1798" s="20"/>
      <c r="G1798" s="20"/>
      <c r="H1798" s="5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4"/>
      <c r="T1798" s="4"/>
      <c r="U1798" s="4"/>
      <c r="V1798" s="4"/>
      <c r="W1798" s="4"/>
      <c r="X1798" s="4"/>
      <c r="Y1798" s="4"/>
      <c r="Z1798" s="4"/>
      <c r="AA1798" s="4"/>
      <c r="AB1798" s="4"/>
      <c r="AC1798" s="4"/>
      <c r="AD1798" s="4"/>
      <c r="AE1798" s="4"/>
      <c r="AF1798" s="4"/>
      <c r="AG1798" s="4"/>
      <c r="AH1798" s="4"/>
      <c r="AI1798" s="4"/>
      <c r="AJ1798" s="4"/>
      <c r="AK1798" s="4"/>
      <c r="AL1798" s="4"/>
      <c r="AM1798" s="4"/>
      <c r="AN1798" s="4"/>
      <c r="AO1798" s="4"/>
      <c r="AP1798" s="4"/>
      <c r="AQ1798" s="4"/>
      <c r="AR1798" s="4"/>
      <c r="AS1798" s="4"/>
      <c r="AT1798" s="4"/>
      <c r="AU1798" s="4"/>
      <c r="AV1798" s="4"/>
    </row>
    <row r="1799" spans="4:48" x14ac:dyDescent="0.3">
      <c r="D1799" s="5"/>
      <c r="E1799" s="5"/>
      <c r="F1799" s="20"/>
      <c r="G1799" s="20"/>
      <c r="H1799" s="5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4"/>
      <c r="T1799" s="4"/>
      <c r="U1799" s="4"/>
      <c r="V1799" s="4"/>
      <c r="W1799" s="4"/>
      <c r="X1799" s="4"/>
      <c r="Y1799" s="4"/>
      <c r="Z1799" s="4"/>
      <c r="AA1799" s="4"/>
      <c r="AB1799" s="4"/>
      <c r="AC1799" s="4"/>
      <c r="AD1799" s="4"/>
      <c r="AE1799" s="4"/>
      <c r="AF1799" s="4"/>
      <c r="AG1799" s="4"/>
      <c r="AH1799" s="4"/>
      <c r="AI1799" s="4"/>
      <c r="AJ1799" s="4"/>
      <c r="AK1799" s="4"/>
      <c r="AL1799" s="4"/>
      <c r="AM1799" s="4"/>
      <c r="AN1799" s="4"/>
      <c r="AO1799" s="4"/>
      <c r="AP1799" s="4"/>
      <c r="AQ1799" s="4"/>
      <c r="AR1799" s="4"/>
      <c r="AS1799" s="4"/>
      <c r="AT1799" s="4"/>
      <c r="AU1799" s="4"/>
      <c r="AV1799" s="4"/>
    </row>
    <row r="1800" spans="4:48" x14ac:dyDescent="0.3">
      <c r="D1800" s="5"/>
      <c r="E1800" s="5"/>
      <c r="F1800" s="20"/>
      <c r="G1800" s="20"/>
      <c r="H1800" s="5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4"/>
      <c r="T1800" s="4"/>
      <c r="U1800" s="4"/>
      <c r="V1800" s="4"/>
      <c r="W1800" s="4"/>
      <c r="X1800" s="4"/>
      <c r="Y1800" s="4"/>
      <c r="Z1800" s="4"/>
      <c r="AA1800" s="4"/>
      <c r="AB1800" s="4"/>
      <c r="AC1800" s="4"/>
      <c r="AD1800" s="4"/>
      <c r="AE1800" s="4"/>
      <c r="AF1800" s="4"/>
      <c r="AG1800" s="4"/>
      <c r="AH1800" s="4"/>
      <c r="AI1800" s="4"/>
      <c r="AJ1800" s="4"/>
      <c r="AK1800" s="4"/>
      <c r="AL1800" s="4"/>
      <c r="AM1800" s="4"/>
      <c r="AN1800" s="4"/>
      <c r="AO1800" s="4"/>
      <c r="AP1800" s="4"/>
      <c r="AQ1800" s="4"/>
      <c r="AR1800" s="4"/>
      <c r="AS1800" s="4"/>
      <c r="AT1800" s="4"/>
      <c r="AU1800" s="4"/>
      <c r="AV1800" s="4"/>
    </row>
    <row r="1801" spans="4:48" x14ac:dyDescent="0.3">
      <c r="D1801" s="5"/>
      <c r="E1801" s="5"/>
      <c r="F1801" s="20"/>
      <c r="G1801" s="20"/>
      <c r="H1801" s="5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4"/>
      <c r="T1801" s="4"/>
      <c r="U1801" s="4"/>
      <c r="V1801" s="4"/>
      <c r="W1801" s="4"/>
      <c r="X1801" s="4"/>
      <c r="Y1801" s="4"/>
      <c r="Z1801" s="4"/>
      <c r="AA1801" s="4"/>
      <c r="AB1801" s="4"/>
      <c r="AC1801" s="4"/>
      <c r="AD1801" s="4"/>
      <c r="AE1801" s="4"/>
      <c r="AF1801" s="4"/>
      <c r="AG1801" s="4"/>
      <c r="AH1801" s="4"/>
      <c r="AI1801" s="4"/>
      <c r="AJ1801" s="4"/>
      <c r="AK1801" s="4"/>
      <c r="AL1801" s="4"/>
      <c r="AM1801" s="4"/>
      <c r="AN1801" s="4"/>
      <c r="AO1801" s="4"/>
      <c r="AP1801" s="4"/>
      <c r="AQ1801" s="4"/>
      <c r="AR1801" s="4"/>
      <c r="AS1801" s="4"/>
      <c r="AT1801" s="4"/>
      <c r="AU1801" s="4"/>
      <c r="AV1801" s="4"/>
    </row>
    <row r="1802" spans="4:48" x14ac:dyDescent="0.3">
      <c r="D1802" s="5"/>
      <c r="E1802" s="5"/>
      <c r="F1802" s="20"/>
      <c r="G1802" s="20"/>
      <c r="H1802" s="5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4"/>
      <c r="T1802" s="4"/>
      <c r="U1802" s="4"/>
      <c r="V1802" s="4"/>
      <c r="W1802" s="4"/>
      <c r="X1802" s="4"/>
      <c r="Y1802" s="4"/>
      <c r="Z1802" s="4"/>
      <c r="AA1802" s="4"/>
      <c r="AB1802" s="4"/>
      <c r="AC1802" s="4"/>
      <c r="AD1802" s="4"/>
      <c r="AE1802" s="4"/>
      <c r="AF1802" s="4"/>
      <c r="AG1802" s="4"/>
      <c r="AH1802" s="4"/>
      <c r="AI1802" s="4"/>
      <c r="AJ1802" s="4"/>
      <c r="AK1802" s="4"/>
      <c r="AL1802" s="4"/>
      <c r="AM1802" s="4"/>
      <c r="AN1802" s="4"/>
      <c r="AO1802" s="4"/>
      <c r="AP1802" s="4"/>
      <c r="AQ1802" s="4"/>
      <c r="AR1802" s="4"/>
      <c r="AS1802" s="4"/>
      <c r="AT1802" s="4"/>
      <c r="AU1802" s="4"/>
      <c r="AV1802" s="4"/>
    </row>
    <row r="1803" spans="4:48" x14ac:dyDescent="0.3">
      <c r="D1803" s="5"/>
      <c r="E1803" s="5"/>
      <c r="F1803" s="20"/>
      <c r="G1803" s="20"/>
      <c r="H1803" s="5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4"/>
      <c r="T1803" s="4"/>
      <c r="U1803" s="4"/>
      <c r="V1803" s="4"/>
      <c r="W1803" s="4"/>
      <c r="X1803" s="4"/>
      <c r="Y1803" s="4"/>
      <c r="Z1803" s="4"/>
      <c r="AA1803" s="4"/>
      <c r="AB1803" s="4"/>
      <c r="AC1803" s="4"/>
      <c r="AD1803" s="4"/>
      <c r="AE1803" s="4"/>
      <c r="AF1803" s="4"/>
      <c r="AG1803" s="4"/>
      <c r="AH1803" s="4"/>
      <c r="AI1803" s="4"/>
      <c r="AJ1803" s="4"/>
      <c r="AK1803" s="4"/>
      <c r="AL1803" s="4"/>
      <c r="AM1803" s="4"/>
      <c r="AN1803" s="4"/>
      <c r="AO1803" s="4"/>
      <c r="AP1803" s="4"/>
      <c r="AQ1803" s="4"/>
      <c r="AR1803" s="4"/>
      <c r="AS1803" s="4"/>
      <c r="AT1803" s="4"/>
      <c r="AU1803" s="4"/>
      <c r="AV1803" s="4"/>
    </row>
    <row r="1804" spans="4:48" x14ac:dyDescent="0.3">
      <c r="D1804" s="5"/>
      <c r="E1804" s="5"/>
      <c r="F1804" s="20"/>
      <c r="G1804" s="20"/>
      <c r="H1804" s="5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4"/>
      <c r="T1804" s="4"/>
      <c r="U1804" s="4"/>
      <c r="V1804" s="4"/>
      <c r="W1804" s="4"/>
      <c r="X1804" s="4"/>
      <c r="Y1804" s="4"/>
      <c r="Z1804" s="4"/>
      <c r="AA1804" s="4"/>
      <c r="AB1804" s="4"/>
      <c r="AC1804" s="4"/>
      <c r="AD1804" s="4"/>
      <c r="AE1804" s="4"/>
      <c r="AF1804" s="4"/>
      <c r="AG1804" s="4"/>
      <c r="AH1804" s="4"/>
      <c r="AI1804" s="4"/>
      <c r="AJ1804" s="4"/>
      <c r="AK1804" s="4"/>
      <c r="AL1804" s="4"/>
      <c r="AM1804" s="4"/>
      <c r="AN1804" s="4"/>
      <c r="AO1804" s="4"/>
      <c r="AP1804" s="4"/>
      <c r="AQ1804" s="4"/>
      <c r="AR1804" s="4"/>
      <c r="AS1804" s="4"/>
      <c r="AT1804" s="4"/>
      <c r="AU1804" s="4"/>
      <c r="AV1804" s="4"/>
    </row>
    <row r="1805" spans="4:48" x14ac:dyDescent="0.3">
      <c r="D1805" s="5"/>
      <c r="E1805" s="5"/>
      <c r="F1805" s="20"/>
      <c r="G1805" s="20"/>
      <c r="H1805" s="5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4"/>
      <c r="T1805" s="4"/>
      <c r="U1805" s="4"/>
      <c r="V1805" s="4"/>
      <c r="W1805" s="4"/>
      <c r="X1805" s="4"/>
      <c r="Y1805" s="4"/>
      <c r="Z1805" s="4"/>
      <c r="AA1805" s="4"/>
      <c r="AB1805" s="4"/>
      <c r="AC1805" s="4"/>
      <c r="AD1805" s="4"/>
      <c r="AE1805" s="4"/>
      <c r="AF1805" s="4"/>
      <c r="AG1805" s="4"/>
      <c r="AH1805" s="4"/>
      <c r="AI1805" s="4"/>
      <c r="AJ1805" s="4"/>
      <c r="AK1805" s="4"/>
      <c r="AL1805" s="4"/>
      <c r="AM1805" s="4"/>
      <c r="AN1805" s="4"/>
      <c r="AO1805" s="4"/>
      <c r="AP1805" s="4"/>
      <c r="AQ1805" s="4"/>
      <c r="AR1805" s="4"/>
      <c r="AS1805" s="4"/>
      <c r="AT1805" s="4"/>
      <c r="AU1805" s="4"/>
      <c r="AV1805" s="4"/>
    </row>
    <row r="1806" spans="4:48" x14ac:dyDescent="0.3">
      <c r="D1806" s="5"/>
      <c r="E1806" s="5"/>
      <c r="F1806" s="20"/>
      <c r="G1806" s="20"/>
      <c r="H1806" s="5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4"/>
      <c r="T1806" s="4"/>
      <c r="U1806" s="4"/>
      <c r="V1806" s="4"/>
      <c r="W1806" s="4"/>
      <c r="X1806" s="4"/>
      <c r="Y1806" s="4"/>
      <c r="Z1806" s="4"/>
      <c r="AA1806" s="4"/>
      <c r="AB1806" s="4"/>
      <c r="AC1806" s="4"/>
      <c r="AD1806" s="4"/>
      <c r="AE1806" s="4"/>
      <c r="AF1806" s="4"/>
      <c r="AG1806" s="4"/>
      <c r="AH1806" s="4"/>
      <c r="AI1806" s="4"/>
      <c r="AJ1806" s="4"/>
      <c r="AK1806" s="4"/>
      <c r="AL1806" s="4"/>
      <c r="AM1806" s="4"/>
      <c r="AN1806" s="4"/>
      <c r="AO1806" s="4"/>
      <c r="AP1806" s="4"/>
      <c r="AQ1806" s="4"/>
      <c r="AR1806" s="4"/>
      <c r="AS1806" s="4"/>
      <c r="AT1806" s="4"/>
      <c r="AU1806" s="4"/>
      <c r="AV1806" s="4"/>
    </row>
    <row r="1807" spans="4:48" x14ac:dyDescent="0.3">
      <c r="D1807" s="5"/>
      <c r="E1807" s="5"/>
      <c r="F1807" s="20"/>
      <c r="G1807" s="20"/>
      <c r="H1807" s="5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4"/>
      <c r="T1807" s="4"/>
      <c r="U1807" s="4"/>
      <c r="V1807" s="4"/>
      <c r="W1807" s="4"/>
      <c r="X1807" s="4"/>
      <c r="Y1807" s="4"/>
      <c r="Z1807" s="4"/>
      <c r="AA1807" s="4"/>
      <c r="AB1807" s="4"/>
      <c r="AC1807" s="4"/>
      <c r="AD1807" s="4"/>
      <c r="AE1807" s="4"/>
      <c r="AF1807" s="4"/>
      <c r="AG1807" s="4"/>
      <c r="AH1807" s="4"/>
      <c r="AI1807" s="4"/>
      <c r="AJ1807" s="4"/>
      <c r="AK1807" s="4"/>
      <c r="AL1807" s="4"/>
      <c r="AM1807" s="4"/>
      <c r="AN1807" s="4"/>
      <c r="AO1807" s="4"/>
      <c r="AP1807" s="4"/>
      <c r="AQ1807" s="4"/>
      <c r="AR1807" s="4"/>
      <c r="AS1807" s="4"/>
      <c r="AT1807" s="4"/>
      <c r="AU1807" s="4"/>
      <c r="AV1807" s="4"/>
    </row>
    <row r="1808" spans="4:48" x14ac:dyDescent="0.3">
      <c r="D1808" s="5"/>
      <c r="E1808" s="5"/>
      <c r="F1808" s="20"/>
      <c r="G1808" s="20"/>
      <c r="H1808" s="5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4"/>
      <c r="T1808" s="4"/>
      <c r="U1808" s="4"/>
      <c r="V1808" s="4"/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  <c r="AG1808" s="4"/>
      <c r="AH1808" s="4"/>
      <c r="AI1808" s="4"/>
      <c r="AJ1808" s="4"/>
      <c r="AK1808" s="4"/>
      <c r="AL1808" s="4"/>
      <c r="AM1808" s="4"/>
      <c r="AN1808" s="4"/>
      <c r="AO1808" s="4"/>
      <c r="AP1808" s="4"/>
      <c r="AQ1808" s="4"/>
      <c r="AR1808" s="4"/>
      <c r="AS1808" s="4"/>
      <c r="AT1808" s="4"/>
      <c r="AU1808" s="4"/>
      <c r="AV1808" s="4"/>
    </row>
    <row r="1809" spans="4:48" x14ac:dyDescent="0.3">
      <c r="D1809" s="5"/>
      <c r="E1809" s="5"/>
      <c r="F1809" s="20"/>
      <c r="G1809" s="20"/>
      <c r="H1809" s="5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4"/>
      <c r="T1809" s="4"/>
      <c r="U1809" s="4"/>
      <c r="V1809" s="4"/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  <c r="AG1809" s="4"/>
      <c r="AH1809" s="4"/>
      <c r="AI1809" s="4"/>
      <c r="AJ1809" s="4"/>
      <c r="AK1809" s="4"/>
      <c r="AL1809" s="4"/>
      <c r="AM1809" s="4"/>
      <c r="AN1809" s="4"/>
      <c r="AO1809" s="4"/>
      <c r="AP1809" s="4"/>
      <c r="AQ1809" s="4"/>
      <c r="AR1809" s="4"/>
      <c r="AS1809" s="4"/>
      <c r="AT1809" s="4"/>
      <c r="AU1809" s="4"/>
      <c r="AV1809" s="4"/>
    </row>
    <row r="1810" spans="4:48" x14ac:dyDescent="0.3">
      <c r="D1810" s="5"/>
      <c r="E1810" s="5"/>
      <c r="F1810" s="20"/>
      <c r="G1810" s="20"/>
      <c r="H1810" s="5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4"/>
      <c r="T1810" s="4"/>
      <c r="U1810" s="4"/>
      <c r="V1810" s="4"/>
      <c r="W1810" s="4"/>
      <c r="X1810" s="4"/>
      <c r="Y1810" s="4"/>
      <c r="Z1810" s="4"/>
      <c r="AA1810" s="4"/>
      <c r="AB1810" s="4"/>
      <c r="AC1810" s="4"/>
      <c r="AD1810" s="4"/>
      <c r="AE1810" s="4"/>
      <c r="AF1810" s="4"/>
      <c r="AG1810" s="4"/>
      <c r="AH1810" s="4"/>
      <c r="AI1810" s="4"/>
      <c r="AJ1810" s="4"/>
      <c r="AK1810" s="4"/>
      <c r="AL1810" s="4"/>
      <c r="AM1810" s="4"/>
      <c r="AN1810" s="4"/>
      <c r="AO1810" s="4"/>
      <c r="AP1810" s="4"/>
      <c r="AQ1810" s="4"/>
      <c r="AR1810" s="4"/>
      <c r="AS1810" s="4"/>
      <c r="AT1810" s="4"/>
      <c r="AU1810" s="4"/>
      <c r="AV1810" s="4"/>
    </row>
    <row r="1811" spans="4:48" x14ac:dyDescent="0.3">
      <c r="D1811" s="5"/>
      <c r="E1811" s="5"/>
      <c r="F1811" s="20"/>
      <c r="G1811" s="20"/>
      <c r="H1811" s="5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4"/>
      <c r="T1811" s="4"/>
      <c r="U1811" s="4"/>
      <c r="V1811" s="4"/>
      <c r="W1811" s="4"/>
      <c r="X1811" s="4"/>
      <c r="Y1811" s="4"/>
      <c r="Z1811" s="4"/>
      <c r="AA1811" s="4"/>
      <c r="AB1811" s="4"/>
      <c r="AC1811" s="4"/>
      <c r="AD1811" s="4"/>
      <c r="AE1811" s="4"/>
      <c r="AF1811" s="4"/>
      <c r="AG1811" s="4"/>
      <c r="AH1811" s="4"/>
      <c r="AI1811" s="4"/>
      <c r="AJ1811" s="4"/>
      <c r="AK1811" s="4"/>
      <c r="AL1811" s="4"/>
      <c r="AM1811" s="4"/>
      <c r="AN1811" s="4"/>
      <c r="AO1811" s="4"/>
      <c r="AP1811" s="4"/>
      <c r="AQ1811" s="4"/>
      <c r="AR1811" s="4"/>
      <c r="AS1811" s="4"/>
      <c r="AT1811" s="4"/>
      <c r="AU1811" s="4"/>
      <c r="AV1811" s="4"/>
    </row>
    <row r="1812" spans="4:48" x14ac:dyDescent="0.3">
      <c r="D1812" s="5"/>
      <c r="E1812" s="5"/>
      <c r="F1812" s="20"/>
      <c r="G1812" s="20"/>
      <c r="H1812" s="5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4"/>
      <c r="T1812" s="4"/>
      <c r="U1812" s="4"/>
      <c r="V1812" s="4"/>
      <c r="W1812" s="4"/>
      <c r="X1812" s="4"/>
      <c r="Y1812" s="4"/>
      <c r="Z1812" s="4"/>
      <c r="AA1812" s="4"/>
      <c r="AB1812" s="4"/>
      <c r="AC1812" s="4"/>
      <c r="AD1812" s="4"/>
      <c r="AE1812" s="4"/>
      <c r="AF1812" s="4"/>
      <c r="AG1812" s="4"/>
      <c r="AH1812" s="4"/>
      <c r="AI1812" s="4"/>
      <c r="AJ1812" s="4"/>
      <c r="AK1812" s="4"/>
      <c r="AL1812" s="4"/>
      <c r="AM1812" s="4"/>
      <c r="AN1812" s="4"/>
      <c r="AO1812" s="4"/>
      <c r="AP1812" s="4"/>
      <c r="AQ1812" s="4"/>
      <c r="AR1812" s="4"/>
      <c r="AS1812" s="4"/>
      <c r="AT1812" s="4"/>
      <c r="AU1812" s="4"/>
      <c r="AV1812" s="4"/>
    </row>
    <row r="1813" spans="4:48" x14ac:dyDescent="0.3">
      <c r="D1813" s="5"/>
      <c r="E1813" s="5"/>
      <c r="F1813" s="20"/>
      <c r="G1813" s="20"/>
      <c r="H1813" s="5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4"/>
      <c r="T1813" s="4"/>
      <c r="U1813" s="4"/>
      <c r="V1813" s="4"/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  <c r="AG1813" s="4"/>
      <c r="AH1813" s="4"/>
      <c r="AI1813" s="4"/>
      <c r="AJ1813" s="4"/>
      <c r="AK1813" s="4"/>
      <c r="AL1813" s="4"/>
      <c r="AM1813" s="4"/>
      <c r="AN1813" s="4"/>
      <c r="AO1813" s="4"/>
      <c r="AP1813" s="4"/>
      <c r="AQ1813" s="4"/>
      <c r="AR1813" s="4"/>
      <c r="AS1813" s="4"/>
      <c r="AT1813" s="4"/>
      <c r="AU1813" s="4"/>
      <c r="AV1813" s="4"/>
    </row>
    <row r="1814" spans="4:48" x14ac:dyDescent="0.3">
      <c r="D1814" s="5"/>
      <c r="E1814" s="5"/>
      <c r="F1814" s="20"/>
      <c r="G1814" s="20"/>
      <c r="H1814" s="5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4"/>
      <c r="T1814" s="4"/>
      <c r="U1814" s="4"/>
      <c r="V1814" s="4"/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  <c r="AG1814" s="4"/>
      <c r="AH1814" s="4"/>
      <c r="AI1814" s="4"/>
      <c r="AJ1814" s="4"/>
      <c r="AK1814" s="4"/>
      <c r="AL1814" s="4"/>
      <c r="AM1814" s="4"/>
      <c r="AN1814" s="4"/>
      <c r="AO1814" s="4"/>
      <c r="AP1814" s="4"/>
      <c r="AQ1814" s="4"/>
      <c r="AR1814" s="4"/>
      <c r="AS1814" s="4"/>
      <c r="AT1814" s="4"/>
      <c r="AU1814" s="4"/>
      <c r="AV1814" s="4"/>
    </row>
    <row r="1815" spans="4:48" x14ac:dyDescent="0.3">
      <c r="D1815" s="5"/>
      <c r="E1815" s="5"/>
      <c r="F1815" s="20"/>
      <c r="G1815" s="20"/>
      <c r="H1815" s="5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4"/>
      <c r="T1815" s="4"/>
      <c r="U1815" s="4"/>
      <c r="V1815" s="4"/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  <c r="AG1815" s="4"/>
      <c r="AH1815" s="4"/>
      <c r="AI1815" s="4"/>
      <c r="AJ1815" s="4"/>
      <c r="AK1815" s="4"/>
      <c r="AL1815" s="4"/>
      <c r="AM1815" s="4"/>
      <c r="AN1815" s="4"/>
      <c r="AO1815" s="4"/>
      <c r="AP1815" s="4"/>
      <c r="AQ1815" s="4"/>
      <c r="AR1815" s="4"/>
      <c r="AS1815" s="4"/>
      <c r="AT1815" s="4"/>
      <c r="AU1815" s="4"/>
      <c r="AV1815" s="4"/>
    </row>
    <row r="1816" spans="4:48" x14ac:dyDescent="0.3">
      <c r="D1816" s="5"/>
      <c r="E1816" s="5"/>
      <c r="F1816" s="20"/>
      <c r="G1816" s="20"/>
      <c r="H1816" s="5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4"/>
      <c r="T1816" s="4"/>
      <c r="U1816" s="4"/>
      <c r="V1816" s="4"/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  <c r="AG1816" s="4"/>
      <c r="AH1816" s="4"/>
      <c r="AI1816" s="4"/>
      <c r="AJ1816" s="4"/>
      <c r="AK1816" s="4"/>
      <c r="AL1816" s="4"/>
      <c r="AM1816" s="4"/>
      <c r="AN1816" s="4"/>
      <c r="AO1816" s="4"/>
      <c r="AP1816" s="4"/>
      <c r="AQ1816" s="4"/>
      <c r="AR1816" s="4"/>
      <c r="AS1816" s="4"/>
      <c r="AT1816" s="4"/>
      <c r="AU1816" s="4"/>
      <c r="AV1816" s="4"/>
    </row>
    <row r="1817" spans="4:48" x14ac:dyDescent="0.3">
      <c r="D1817" s="5"/>
      <c r="E1817" s="5"/>
      <c r="F1817" s="20"/>
      <c r="G1817" s="20"/>
      <c r="H1817" s="5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4"/>
      <c r="T1817" s="4"/>
      <c r="U1817" s="4"/>
      <c r="V1817" s="4"/>
      <c r="W1817" s="4"/>
      <c r="X1817" s="4"/>
      <c r="Y1817" s="4"/>
      <c r="Z1817" s="4"/>
      <c r="AA1817" s="4"/>
      <c r="AB1817" s="4"/>
      <c r="AC1817" s="4"/>
      <c r="AD1817" s="4"/>
      <c r="AE1817" s="4"/>
      <c r="AF1817" s="4"/>
      <c r="AG1817" s="4"/>
      <c r="AH1817" s="4"/>
      <c r="AI1817" s="4"/>
      <c r="AJ1817" s="4"/>
      <c r="AK1817" s="4"/>
      <c r="AL1817" s="4"/>
      <c r="AM1817" s="4"/>
      <c r="AN1817" s="4"/>
      <c r="AO1817" s="4"/>
      <c r="AP1817" s="4"/>
      <c r="AQ1817" s="4"/>
      <c r="AR1817" s="4"/>
      <c r="AS1817" s="4"/>
      <c r="AT1817" s="4"/>
      <c r="AU1817" s="4"/>
      <c r="AV1817" s="4"/>
    </row>
    <row r="1818" spans="4:48" x14ac:dyDescent="0.3">
      <c r="D1818" s="5"/>
      <c r="E1818" s="5"/>
      <c r="F1818" s="20"/>
      <c r="G1818" s="20"/>
      <c r="H1818" s="5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4"/>
      <c r="T1818" s="4"/>
      <c r="U1818" s="4"/>
      <c r="V1818" s="4"/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  <c r="AG1818" s="4"/>
      <c r="AH1818" s="4"/>
      <c r="AI1818" s="4"/>
      <c r="AJ1818" s="4"/>
      <c r="AK1818" s="4"/>
      <c r="AL1818" s="4"/>
      <c r="AM1818" s="4"/>
      <c r="AN1818" s="4"/>
      <c r="AO1818" s="4"/>
      <c r="AP1818" s="4"/>
      <c r="AQ1818" s="4"/>
      <c r="AR1818" s="4"/>
      <c r="AS1818" s="4"/>
      <c r="AT1818" s="4"/>
      <c r="AU1818" s="4"/>
      <c r="AV1818" s="4"/>
    </row>
    <row r="1819" spans="4:48" x14ac:dyDescent="0.3">
      <c r="D1819" s="5"/>
      <c r="E1819" s="5"/>
      <c r="F1819" s="20"/>
      <c r="G1819" s="20"/>
      <c r="H1819" s="5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4"/>
      <c r="T1819" s="4"/>
      <c r="U1819" s="4"/>
      <c r="V1819" s="4"/>
      <c r="W1819" s="4"/>
      <c r="X1819" s="4"/>
      <c r="Y1819" s="4"/>
      <c r="Z1819" s="4"/>
      <c r="AA1819" s="4"/>
      <c r="AB1819" s="4"/>
      <c r="AC1819" s="4"/>
      <c r="AD1819" s="4"/>
      <c r="AE1819" s="4"/>
      <c r="AF1819" s="4"/>
      <c r="AG1819" s="4"/>
      <c r="AH1819" s="4"/>
      <c r="AI1819" s="4"/>
      <c r="AJ1819" s="4"/>
      <c r="AK1819" s="4"/>
      <c r="AL1819" s="4"/>
      <c r="AM1819" s="4"/>
      <c r="AN1819" s="4"/>
      <c r="AO1819" s="4"/>
      <c r="AP1819" s="4"/>
      <c r="AQ1819" s="4"/>
      <c r="AR1819" s="4"/>
      <c r="AS1819" s="4"/>
      <c r="AT1819" s="4"/>
      <c r="AU1819" s="4"/>
      <c r="AV1819" s="4"/>
    </row>
    <row r="1820" spans="4:48" x14ac:dyDescent="0.3">
      <c r="D1820" s="5"/>
      <c r="E1820" s="5"/>
      <c r="F1820" s="20"/>
      <c r="G1820" s="20"/>
      <c r="H1820" s="5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4"/>
      <c r="T1820" s="4"/>
      <c r="U1820" s="4"/>
      <c r="V1820" s="4"/>
      <c r="W1820" s="4"/>
      <c r="X1820" s="4"/>
      <c r="Y1820" s="4"/>
      <c r="Z1820" s="4"/>
      <c r="AA1820" s="4"/>
      <c r="AB1820" s="4"/>
      <c r="AC1820" s="4"/>
      <c r="AD1820" s="4"/>
      <c r="AE1820" s="4"/>
      <c r="AF1820" s="4"/>
      <c r="AG1820" s="4"/>
      <c r="AH1820" s="4"/>
      <c r="AI1820" s="4"/>
      <c r="AJ1820" s="4"/>
      <c r="AK1820" s="4"/>
      <c r="AL1820" s="4"/>
      <c r="AM1820" s="4"/>
      <c r="AN1820" s="4"/>
      <c r="AO1820" s="4"/>
      <c r="AP1820" s="4"/>
      <c r="AQ1820" s="4"/>
      <c r="AR1820" s="4"/>
      <c r="AS1820" s="4"/>
      <c r="AT1820" s="4"/>
      <c r="AU1820" s="4"/>
      <c r="AV1820" s="4"/>
    </row>
    <row r="1821" spans="4:48" x14ac:dyDescent="0.3">
      <c r="D1821" s="5"/>
      <c r="E1821" s="5"/>
      <c r="F1821" s="20"/>
      <c r="G1821" s="20"/>
      <c r="H1821" s="5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4"/>
      <c r="T1821" s="4"/>
      <c r="U1821" s="4"/>
      <c r="V1821" s="4"/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  <c r="AG1821" s="4"/>
      <c r="AH1821" s="4"/>
      <c r="AI1821" s="4"/>
      <c r="AJ1821" s="4"/>
      <c r="AK1821" s="4"/>
      <c r="AL1821" s="4"/>
      <c r="AM1821" s="4"/>
      <c r="AN1821" s="4"/>
      <c r="AO1821" s="4"/>
      <c r="AP1821" s="4"/>
      <c r="AQ1821" s="4"/>
      <c r="AR1821" s="4"/>
      <c r="AS1821" s="4"/>
      <c r="AT1821" s="4"/>
      <c r="AU1821" s="4"/>
      <c r="AV1821" s="4"/>
    </row>
    <row r="1822" spans="4:48" x14ac:dyDescent="0.3">
      <c r="D1822" s="5"/>
      <c r="E1822" s="5"/>
      <c r="F1822" s="20"/>
      <c r="G1822" s="20"/>
      <c r="H1822" s="5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4"/>
      <c r="T1822" s="4"/>
      <c r="U1822" s="4"/>
      <c r="V1822" s="4"/>
      <c r="W1822" s="4"/>
      <c r="X1822" s="4"/>
      <c r="Y1822" s="4"/>
      <c r="Z1822" s="4"/>
      <c r="AA1822" s="4"/>
      <c r="AB1822" s="4"/>
      <c r="AC1822" s="4"/>
      <c r="AD1822" s="4"/>
      <c r="AE1822" s="4"/>
      <c r="AF1822" s="4"/>
      <c r="AG1822" s="4"/>
      <c r="AH1822" s="4"/>
      <c r="AI1822" s="4"/>
      <c r="AJ1822" s="4"/>
      <c r="AK1822" s="4"/>
      <c r="AL1822" s="4"/>
      <c r="AM1822" s="4"/>
      <c r="AN1822" s="4"/>
      <c r="AO1822" s="4"/>
      <c r="AP1822" s="4"/>
      <c r="AQ1822" s="4"/>
      <c r="AR1822" s="4"/>
      <c r="AS1822" s="4"/>
      <c r="AT1822" s="4"/>
      <c r="AU1822" s="4"/>
      <c r="AV1822" s="4"/>
    </row>
    <row r="1823" spans="4:48" x14ac:dyDescent="0.3">
      <c r="D1823" s="5"/>
      <c r="E1823" s="5"/>
      <c r="F1823" s="20"/>
      <c r="G1823" s="20"/>
      <c r="H1823" s="5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4"/>
      <c r="T1823" s="4"/>
      <c r="U1823" s="4"/>
      <c r="V1823" s="4"/>
      <c r="W1823" s="4"/>
      <c r="X1823" s="4"/>
      <c r="Y1823" s="4"/>
      <c r="Z1823" s="4"/>
      <c r="AA1823" s="4"/>
      <c r="AB1823" s="4"/>
      <c r="AC1823" s="4"/>
      <c r="AD1823" s="4"/>
      <c r="AE1823" s="4"/>
      <c r="AF1823" s="4"/>
      <c r="AG1823" s="4"/>
      <c r="AH1823" s="4"/>
      <c r="AI1823" s="4"/>
      <c r="AJ1823" s="4"/>
      <c r="AK1823" s="4"/>
      <c r="AL1823" s="4"/>
      <c r="AM1823" s="4"/>
      <c r="AN1823" s="4"/>
      <c r="AO1823" s="4"/>
      <c r="AP1823" s="4"/>
      <c r="AQ1823" s="4"/>
      <c r="AR1823" s="4"/>
      <c r="AS1823" s="4"/>
      <c r="AT1823" s="4"/>
      <c r="AU1823" s="4"/>
      <c r="AV1823" s="4"/>
    </row>
    <row r="1824" spans="4:48" x14ac:dyDescent="0.3">
      <c r="D1824" s="5"/>
      <c r="E1824" s="5"/>
      <c r="F1824" s="20"/>
      <c r="G1824" s="20"/>
      <c r="H1824" s="5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4"/>
      <c r="T1824" s="4"/>
      <c r="U1824" s="4"/>
      <c r="V1824" s="4"/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  <c r="AG1824" s="4"/>
      <c r="AH1824" s="4"/>
      <c r="AI1824" s="4"/>
      <c r="AJ1824" s="4"/>
      <c r="AK1824" s="4"/>
      <c r="AL1824" s="4"/>
      <c r="AM1824" s="4"/>
      <c r="AN1824" s="4"/>
      <c r="AO1824" s="4"/>
      <c r="AP1824" s="4"/>
      <c r="AQ1824" s="4"/>
      <c r="AR1824" s="4"/>
      <c r="AS1824" s="4"/>
      <c r="AT1824" s="4"/>
      <c r="AU1824" s="4"/>
      <c r="AV1824" s="4"/>
    </row>
    <row r="1825" spans="4:48" x14ac:dyDescent="0.3">
      <c r="D1825" s="5"/>
      <c r="E1825" s="5"/>
      <c r="F1825" s="20"/>
      <c r="G1825" s="20"/>
      <c r="H1825" s="5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4"/>
      <c r="T1825" s="4"/>
      <c r="U1825" s="4"/>
      <c r="V1825" s="4"/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  <c r="AG1825" s="4"/>
      <c r="AH1825" s="4"/>
      <c r="AI1825" s="4"/>
      <c r="AJ1825" s="4"/>
      <c r="AK1825" s="4"/>
      <c r="AL1825" s="4"/>
      <c r="AM1825" s="4"/>
      <c r="AN1825" s="4"/>
      <c r="AO1825" s="4"/>
      <c r="AP1825" s="4"/>
      <c r="AQ1825" s="4"/>
      <c r="AR1825" s="4"/>
      <c r="AS1825" s="4"/>
      <c r="AT1825" s="4"/>
      <c r="AU1825" s="4"/>
      <c r="AV1825" s="4"/>
    </row>
    <row r="1826" spans="4:48" x14ac:dyDescent="0.3">
      <c r="D1826" s="5"/>
      <c r="E1826" s="5"/>
      <c r="F1826" s="20"/>
      <c r="G1826" s="20"/>
      <c r="H1826" s="5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4"/>
      <c r="T1826" s="4"/>
      <c r="U1826" s="4"/>
      <c r="V1826" s="4"/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  <c r="AG1826" s="4"/>
      <c r="AH1826" s="4"/>
      <c r="AI1826" s="4"/>
      <c r="AJ1826" s="4"/>
      <c r="AK1826" s="4"/>
      <c r="AL1826" s="4"/>
      <c r="AM1826" s="4"/>
      <c r="AN1826" s="4"/>
      <c r="AO1826" s="4"/>
      <c r="AP1826" s="4"/>
      <c r="AQ1826" s="4"/>
      <c r="AR1826" s="4"/>
      <c r="AS1826" s="4"/>
      <c r="AT1826" s="4"/>
      <c r="AU1826" s="4"/>
      <c r="AV1826" s="4"/>
    </row>
    <row r="1827" spans="4:48" x14ac:dyDescent="0.3">
      <c r="D1827" s="5"/>
      <c r="E1827" s="5"/>
      <c r="F1827" s="20"/>
      <c r="G1827" s="20"/>
      <c r="H1827" s="5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4"/>
      <c r="T1827" s="4"/>
      <c r="U1827" s="4"/>
      <c r="V1827" s="4"/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  <c r="AG1827" s="4"/>
      <c r="AH1827" s="4"/>
      <c r="AI1827" s="4"/>
      <c r="AJ1827" s="4"/>
      <c r="AK1827" s="4"/>
      <c r="AL1827" s="4"/>
      <c r="AM1827" s="4"/>
      <c r="AN1827" s="4"/>
      <c r="AO1827" s="4"/>
      <c r="AP1827" s="4"/>
      <c r="AQ1827" s="4"/>
      <c r="AR1827" s="4"/>
      <c r="AS1827" s="4"/>
      <c r="AT1827" s="4"/>
      <c r="AU1827" s="4"/>
      <c r="AV1827" s="4"/>
    </row>
    <row r="1828" spans="4:48" x14ac:dyDescent="0.3">
      <c r="D1828" s="5"/>
      <c r="E1828" s="5"/>
      <c r="F1828" s="20"/>
      <c r="G1828" s="20"/>
      <c r="H1828" s="5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4"/>
      <c r="T1828" s="4"/>
      <c r="U1828" s="4"/>
      <c r="V1828" s="4"/>
      <c r="W1828" s="4"/>
      <c r="X1828" s="4"/>
      <c r="Y1828" s="4"/>
      <c r="Z1828" s="4"/>
      <c r="AA1828" s="4"/>
      <c r="AB1828" s="4"/>
      <c r="AC1828" s="4"/>
      <c r="AD1828" s="4"/>
      <c r="AE1828" s="4"/>
      <c r="AF1828" s="4"/>
      <c r="AG1828" s="4"/>
      <c r="AH1828" s="4"/>
      <c r="AI1828" s="4"/>
      <c r="AJ1828" s="4"/>
      <c r="AK1828" s="4"/>
      <c r="AL1828" s="4"/>
      <c r="AM1828" s="4"/>
      <c r="AN1828" s="4"/>
      <c r="AO1828" s="4"/>
      <c r="AP1828" s="4"/>
      <c r="AQ1828" s="4"/>
      <c r="AR1828" s="4"/>
      <c r="AS1828" s="4"/>
      <c r="AT1828" s="4"/>
      <c r="AU1828" s="4"/>
      <c r="AV1828" s="4"/>
    </row>
    <row r="1829" spans="4:48" x14ac:dyDescent="0.3">
      <c r="D1829" s="5"/>
      <c r="E1829" s="5"/>
      <c r="F1829" s="20"/>
      <c r="G1829" s="20"/>
      <c r="H1829" s="5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4"/>
      <c r="T1829" s="4"/>
      <c r="U1829" s="4"/>
      <c r="V1829" s="4"/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  <c r="AG1829" s="4"/>
      <c r="AH1829" s="4"/>
      <c r="AI1829" s="4"/>
      <c r="AJ1829" s="4"/>
      <c r="AK1829" s="4"/>
      <c r="AL1829" s="4"/>
      <c r="AM1829" s="4"/>
      <c r="AN1829" s="4"/>
      <c r="AO1829" s="4"/>
      <c r="AP1829" s="4"/>
      <c r="AQ1829" s="4"/>
      <c r="AR1829" s="4"/>
      <c r="AS1829" s="4"/>
      <c r="AT1829" s="4"/>
      <c r="AU1829" s="4"/>
      <c r="AV1829" s="4"/>
    </row>
    <row r="1830" spans="4:48" x14ac:dyDescent="0.3">
      <c r="D1830" s="5"/>
      <c r="E1830" s="5"/>
      <c r="F1830" s="20"/>
      <c r="G1830" s="20"/>
      <c r="H1830" s="5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4"/>
      <c r="T1830" s="4"/>
      <c r="U1830" s="4"/>
      <c r="V1830" s="4"/>
      <c r="W1830" s="4"/>
      <c r="X1830" s="4"/>
      <c r="Y1830" s="4"/>
      <c r="Z1830" s="4"/>
      <c r="AA1830" s="4"/>
      <c r="AB1830" s="4"/>
      <c r="AC1830" s="4"/>
      <c r="AD1830" s="4"/>
      <c r="AE1830" s="4"/>
      <c r="AF1830" s="4"/>
      <c r="AG1830" s="4"/>
      <c r="AH1830" s="4"/>
      <c r="AI1830" s="4"/>
      <c r="AJ1830" s="4"/>
      <c r="AK1830" s="4"/>
      <c r="AL1830" s="4"/>
      <c r="AM1830" s="4"/>
      <c r="AN1830" s="4"/>
      <c r="AO1830" s="4"/>
      <c r="AP1830" s="4"/>
      <c r="AQ1830" s="4"/>
      <c r="AR1830" s="4"/>
      <c r="AS1830" s="4"/>
      <c r="AT1830" s="4"/>
      <c r="AU1830" s="4"/>
      <c r="AV1830" s="4"/>
    </row>
    <row r="1831" spans="4:48" x14ac:dyDescent="0.3">
      <c r="D1831" s="5"/>
      <c r="E1831" s="5"/>
      <c r="F1831" s="20"/>
      <c r="G1831" s="20"/>
      <c r="H1831" s="5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4"/>
      <c r="T1831" s="4"/>
      <c r="U1831" s="4"/>
      <c r="V1831" s="4"/>
      <c r="W1831" s="4"/>
      <c r="X1831" s="4"/>
      <c r="Y1831" s="4"/>
      <c r="Z1831" s="4"/>
      <c r="AA1831" s="4"/>
      <c r="AB1831" s="4"/>
      <c r="AC1831" s="4"/>
      <c r="AD1831" s="4"/>
      <c r="AE1831" s="4"/>
      <c r="AF1831" s="4"/>
      <c r="AG1831" s="4"/>
      <c r="AH1831" s="4"/>
      <c r="AI1831" s="4"/>
      <c r="AJ1831" s="4"/>
      <c r="AK1831" s="4"/>
      <c r="AL1831" s="4"/>
      <c r="AM1831" s="4"/>
      <c r="AN1831" s="4"/>
      <c r="AO1831" s="4"/>
      <c r="AP1831" s="4"/>
      <c r="AQ1831" s="4"/>
      <c r="AR1831" s="4"/>
      <c r="AS1831" s="4"/>
      <c r="AT1831" s="4"/>
      <c r="AU1831" s="4"/>
      <c r="AV1831" s="4"/>
    </row>
    <row r="1832" spans="4:48" x14ac:dyDescent="0.3">
      <c r="D1832" s="5"/>
      <c r="E1832" s="5"/>
      <c r="F1832" s="20"/>
      <c r="G1832" s="20"/>
      <c r="H1832" s="5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4"/>
      <c r="T1832" s="4"/>
      <c r="U1832" s="4"/>
      <c r="V1832" s="4"/>
      <c r="W1832" s="4"/>
      <c r="X1832" s="4"/>
      <c r="Y1832" s="4"/>
      <c r="Z1832" s="4"/>
      <c r="AA1832" s="4"/>
      <c r="AB1832" s="4"/>
      <c r="AC1832" s="4"/>
      <c r="AD1832" s="4"/>
      <c r="AE1832" s="4"/>
      <c r="AF1832" s="4"/>
      <c r="AG1832" s="4"/>
      <c r="AH1832" s="4"/>
      <c r="AI1832" s="4"/>
      <c r="AJ1832" s="4"/>
      <c r="AK1832" s="4"/>
      <c r="AL1832" s="4"/>
      <c r="AM1832" s="4"/>
      <c r="AN1832" s="4"/>
      <c r="AO1832" s="4"/>
      <c r="AP1832" s="4"/>
      <c r="AQ1832" s="4"/>
      <c r="AR1832" s="4"/>
      <c r="AS1832" s="4"/>
      <c r="AT1832" s="4"/>
      <c r="AU1832" s="4"/>
      <c r="AV1832" s="4"/>
    </row>
    <row r="1833" spans="4:48" x14ac:dyDescent="0.3">
      <c r="D1833" s="5"/>
      <c r="E1833" s="5"/>
      <c r="F1833" s="20"/>
      <c r="G1833" s="20"/>
      <c r="H1833" s="5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4"/>
      <c r="T1833" s="4"/>
      <c r="U1833" s="4"/>
      <c r="V1833" s="4"/>
      <c r="W1833" s="4"/>
      <c r="X1833" s="4"/>
      <c r="Y1833" s="4"/>
      <c r="Z1833" s="4"/>
      <c r="AA1833" s="4"/>
      <c r="AB1833" s="4"/>
      <c r="AC1833" s="4"/>
      <c r="AD1833" s="4"/>
      <c r="AE1833" s="4"/>
      <c r="AF1833" s="4"/>
      <c r="AG1833" s="4"/>
      <c r="AH1833" s="4"/>
      <c r="AI1833" s="4"/>
      <c r="AJ1833" s="4"/>
      <c r="AK1833" s="4"/>
      <c r="AL1833" s="4"/>
      <c r="AM1833" s="4"/>
      <c r="AN1833" s="4"/>
      <c r="AO1833" s="4"/>
      <c r="AP1833" s="4"/>
      <c r="AQ1833" s="4"/>
      <c r="AR1833" s="4"/>
      <c r="AS1833" s="4"/>
      <c r="AT1833" s="4"/>
      <c r="AU1833" s="4"/>
      <c r="AV1833" s="4"/>
    </row>
    <row r="1834" spans="4:48" x14ac:dyDescent="0.3">
      <c r="D1834" s="5"/>
      <c r="E1834" s="5"/>
      <c r="F1834" s="20"/>
      <c r="G1834" s="20"/>
      <c r="H1834" s="5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4"/>
      <c r="T1834" s="4"/>
      <c r="U1834" s="4"/>
      <c r="V1834" s="4"/>
      <c r="W1834" s="4"/>
      <c r="X1834" s="4"/>
      <c r="Y1834" s="4"/>
      <c r="Z1834" s="4"/>
      <c r="AA1834" s="4"/>
      <c r="AB1834" s="4"/>
      <c r="AC1834" s="4"/>
      <c r="AD1834" s="4"/>
      <c r="AE1834" s="4"/>
      <c r="AF1834" s="4"/>
      <c r="AG1834" s="4"/>
      <c r="AH1834" s="4"/>
      <c r="AI1834" s="4"/>
      <c r="AJ1834" s="4"/>
      <c r="AK1834" s="4"/>
      <c r="AL1834" s="4"/>
      <c r="AM1834" s="4"/>
      <c r="AN1834" s="4"/>
      <c r="AO1834" s="4"/>
      <c r="AP1834" s="4"/>
      <c r="AQ1834" s="4"/>
      <c r="AR1834" s="4"/>
      <c r="AS1834" s="4"/>
      <c r="AT1834" s="4"/>
      <c r="AU1834" s="4"/>
      <c r="AV1834" s="4"/>
    </row>
    <row r="1835" spans="4:48" x14ac:dyDescent="0.3">
      <c r="D1835" s="5"/>
      <c r="E1835" s="5"/>
      <c r="F1835" s="20"/>
      <c r="G1835" s="20"/>
      <c r="H1835" s="5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4"/>
      <c r="T1835" s="4"/>
      <c r="U1835" s="4"/>
      <c r="V1835" s="4"/>
      <c r="W1835" s="4"/>
      <c r="X1835" s="4"/>
      <c r="Y1835" s="4"/>
      <c r="Z1835" s="4"/>
      <c r="AA1835" s="4"/>
      <c r="AB1835" s="4"/>
      <c r="AC1835" s="4"/>
      <c r="AD1835" s="4"/>
      <c r="AE1835" s="4"/>
      <c r="AF1835" s="4"/>
      <c r="AG1835" s="4"/>
      <c r="AH1835" s="4"/>
      <c r="AI1835" s="4"/>
      <c r="AJ1835" s="4"/>
      <c r="AK1835" s="4"/>
      <c r="AL1835" s="4"/>
      <c r="AM1835" s="4"/>
      <c r="AN1835" s="4"/>
      <c r="AO1835" s="4"/>
      <c r="AP1835" s="4"/>
      <c r="AQ1835" s="4"/>
      <c r="AR1835" s="4"/>
      <c r="AS1835" s="4"/>
      <c r="AT1835" s="4"/>
      <c r="AU1835" s="4"/>
      <c r="AV1835" s="4"/>
    </row>
    <row r="1836" spans="4:48" x14ac:dyDescent="0.3">
      <c r="D1836" s="5"/>
      <c r="E1836" s="5"/>
      <c r="F1836" s="20"/>
      <c r="G1836" s="20"/>
      <c r="H1836" s="5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4"/>
      <c r="T1836" s="4"/>
      <c r="U1836" s="4"/>
      <c r="V1836" s="4"/>
      <c r="W1836" s="4"/>
      <c r="X1836" s="4"/>
      <c r="Y1836" s="4"/>
      <c r="Z1836" s="4"/>
      <c r="AA1836" s="4"/>
      <c r="AB1836" s="4"/>
      <c r="AC1836" s="4"/>
      <c r="AD1836" s="4"/>
      <c r="AE1836" s="4"/>
      <c r="AF1836" s="4"/>
      <c r="AG1836" s="4"/>
      <c r="AH1836" s="4"/>
      <c r="AI1836" s="4"/>
      <c r="AJ1836" s="4"/>
      <c r="AK1836" s="4"/>
      <c r="AL1836" s="4"/>
      <c r="AM1836" s="4"/>
      <c r="AN1836" s="4"/>
      <c r="AO1836" s="4"/>
      <c r="AP1836" s="4"/>
      <c r="AQ1836" s="4"/>
      <c r="AR1836" s="4"/>
      <c r="AS1836" s="4"/>
      <c r="AT1836" s="4"/>
      <c r="AU1836" s="4"/>
      <c r="AV1836" s="4"/>
    </row>
    <row r="1837" spans="4:48" x14ac:dyDescent="0.3">
      <c r="D1837" s="5"/>
      <c r="E1837" s="5"/>
      <c r="F1837" s="20"/>
      <c r="G1837" s="20"/>
      <c r="H1837" s="5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4"/>
      <c r="T1837" s="4"/>
      <c r="U1837" s="4"/>
      <c r="V1837" s="4"/>
      <c r="W1837" s="4"/>
      <c r="X1837" s="4"/>
      <c r="Y1837" s="4"/>
      <c r="Z1837" s="4"/>
      <c r="AA1837" s="4"/>
      <c r="AB1837" s="4"/>
      <c r="AC1837" s="4"/>
      <c r="AD1837" s="4"/>
      <c r="AE1837" s="4"/>
      <c r="AF1837" s="4"/>
      <c r="AG1837" s="4"/>
      <c r="AH1837" s="4"/>
      <c r="AI1837" s="4"/>
      <c r="AJ1837" s="4"/>
      <c r="AK1837" s="4"/>
      <c r="AL1837" s="4"/>
      <c r="AM1837" s="4"/>
      <c r="AN1837" s="4"/>
      <c r="AO1837" s="4"/>
      <c r="AP1837" s="4"/>
      <c r="AQ1837" s="4"/>
      <c r="AR1837" s="4"/>
      <c r="AS1837" s="4"/>
      <c r="AT1837" s="4"/>
      <c r="AU1837" s="4"/>
      <c r="AV1837" s="4"/>
    </row>
    <row r="1838" spans="4:48" x14ac:dyDescent="0.3">
      <c r="D1838" s="5"/>
      <c r="E1838" s="5"/>
      <c r="F1838" s="20"/>
      <c r="G1838" s="20"/>
      <c r="H1838" s="5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4"/>
      <c r="T1838" s="4"/>
      <c r="U1838" s="4"/>
      <c r="V1838" s="4"/>
      <c r="W1838" s="4"/>
      <c r="X1838" s="4"/>
      <c r="Y1838" s="4"/>
      <c r="Z1838" s="4"/>
      <c r="AA1838" s="4"/>
      <c r="AB1838" s="4"/>
      <c r="AC1838" s="4"/>
      <c r="AD1838" s="4"/>
      <c r="AE1838" s="4"/>
      <c r="AF1838" s="4"/>
      <c r="AG1838" s="4"/>
      <c r="AH1838" s="4"/>
      <c r="AI1838" s="4"/>
      <c r="AJ1838" s="4"/>
      <c r="AK1838" s="4"/>
      <c r="AL1838" s="4"/>
      <c r="AM1838" s="4"/>
      <c r="AN1838" s="4"/>
      <c r="AO1838" s="4"/>
      <c r="AP1838" s="4"/>
      <c r="AQ1838" s="4"/>
      <c r="AR1838" s="4"/>
      <c r="AS1838" s="4"/>
      <c r="AT1838" s="4"/>
      <c r="AU1838" s="4"/>
      <c r="AV1838" s="4"/>
    </row>
    <row r="1839" spans="4:48" x14ac:dyDescent="0.3">
      <c r="D1839" s="5"/>
      <c r="E1839" s="5"/>
      <c r="F1839" s="20"/>
      <c r="G1839" s="20"/>
      <c r="H1839" s="5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4"/>
      <c r="T1839" s="4"/>
      <c r="U1839" s="4"/>
      <c r="V1839" s="4"/>
      <c r="W1839" s="4"/>
      <c r="X1839" s="4"/>
      <c r="Y1839" s="4"/>
      <c r="Z1839" s="4"/>
      <c r="AA1839" s="4"/>
      <c r="AB1839" s="4"/>
      <c r="AC1839" s="4"/>
      <c r="AD1839" s="4"/>
      <c r="AE1839" s="4"/>
      <c r="AF1839" s="4"/>
      <c r="AG1839" s="4"/>
      <c r="AH1839" s="4"/>
      <c r="AI1839" s="4"/>
      <c r="AJ1839" s="4"/>
      <c r="AK1839" s="4"/>
      <c r="AL1839" s="4"/>
      <c r="AM1839" s="4"/>
      <c r="AN1839" s="4"/>
      <c r="AO1839" s="4"/>
      <c r="AP1839" s="4"/>
      <c r="AQ1839" s="4"/>
      <c r="AR1839" s="4"/>
      <c r="AS1839" s="4"/>
      <c r="AT1839" s="4"/>
      <c r="AU1839" s="4"/>
      <c r="AV1839" s="4"/>
    </row>
    <row r="1840" spans="4:48" x14ac:dyDescent="0.3">
      <c r="D1840" s="5"/>
      <c r="E1840" s="5"/>
      <c r="F1840" s="20"/>
      <c r="G1840" s="20"/>
      <c r="H1840" s="5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4"/>
      <c r="T1840" s="4"/>
      <c r="U1840" s="4"/>
      <c r="V1840" s="4"/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  <c r="AG1840" s="4"/>
      <c r="AH1840" s="4"/>
      <c r="AI1840" s="4"/>
      <c r="AJ1840" s="4"/>
      <c r="AK1840" s="4"/>
      <c r="AL1840" s="4"/>
      <c r="AM1840" s="4"/>
      <c r="AN1840" s="4"/>
      <c r="AO1840" s="4"/>
      <c r="AP1840" s="4"/>
      <c r="AQ1840" s="4"/>
      <c r="AR1840" s="4"/>
      <c r="AS1840" s="4"/>
      <c r="AT1840" s="4"/>
      <c r="AU1840" s="4"/>
      <c r="AV1840" s="4"/>
    </row>
    <row r="1841" spans="4:48" x14ac:dyDescent="0.3">
      <c r="D1841" s="5"/>
      <c r="E1841" s="5"/>
      <c r="F1841" s="20"/>
      <c r="G1841" s="20"/>
      <c r="H1841" s="5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4"/>
      <c r="T1841" s="4"/>
      <c r="U1841" s="4"/>
      <c r="V1841" s="4"/>
      <c r="W1841" s="4"/>
      <c r="X1841" s="4"/>
      <c r="Y1841" s="4"/>
      <c r="Z1841" s="4"/>
      <c r="AA1841" s="4"/>
      <c r="AB1841" s="4"/>
      <c r="AC1841" s="4"/>
      <c r="AD1841" s="4"/>
      <c r="AE1841" s="4"/>
      <c r="AF1841" s="4"/>
      <c r="AG1841" s="4"/>
      <c r="AH1841" s="4"/>
      <c r="AI1841" s="4"/>
      <c r="AJ1841" s="4"/>
      <c r="AK1841" s="4"/>
      <c r="AL1841" s="4"/>
      <c r="AM1841" s="4"/>
      <c r="AN1841" s="4"/>
      <c r="AO1841" s="4"/>
      <c r="AP1841" s="4"/>
      <c r="AQ1841" s="4"/>
      <c r="AR1841" s="4"/>
      <c r="AS1841" s="4"/>
      <c r="AT1841" s="4"/>
      <c r="AU1841" s="4"/>
      <c r="AV1841" s="4"/>
    </row>
    <row r="1842" spans="4:48" x14ac:dyDescent="0.3">
      <c r="D1842" s="5"/>
      <c r="E1842" s="5"/>
      <c r="F1842" s="20"/>
      <c r="G1842" s="20"/>
      <c r="H1842" s="5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4"/>
      <c r="T1842" s="4"/>
      <c r="U1842" s="4"/>
      <c r="V1842" s="4"/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  <c r="AG1842" s="4"/>
      <c r="AH1842" s="4"/>
      <c r="AI1842" s="4"/>
      <c r="AJ1842" s="4"/>
      <c r="AK1842" s="4"/>
      <c r="AL1842" s="4"/>
      <c r="AM1842" s="4"/>
      <c r="AN1842" s="4"/>
      <c r="AO1842" s="4"/>
      <c r="AP1842" s="4"/>
      <c r="AQ1842" s="4"/>
      <c r="AR1842" s="4"/>
      <c r="AS1842" s="4"/>
      <c r="AT1842" s="4"/>
      <c r="AU1842" s="4"/>
      <c r="AV1842" s="4"/>
    </row>
    <row r="1843" spans="4:48" x14ac:dyDescent="0.3">
      <c r="D1843" s="5"/>
      <c r="E1843" s="5"/>
      <c r="F1843" s="20"/>
      <c r="G1843" s="20"/>
      <c r="H1843" s="5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4"/>
      <c r="T1843" s="4"/>
      <c r="U1843" s="4"/>
      <c r="V1843" s="4"/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  <c r="AG1843" s="4"/>
      <c r="AH1843" s="4"/>
      <c r="AI1843" s="4"/>
      <c r="AJ1843" s="4"/>
      <c r="AK1843" s="4"/>
      <c r="AL1843" s="4"/>
      <c r="AM1843" s="4"/>
      <c r="AN1843" s="4"/>
      <c r="AO1843" s="4"/>
      <c r="AP1843" s="4"/>
      <c r="AQ1843" s="4"/>
      <c r="AR1843" s="4"/>
      <c r="AS1843" s="4"/>
      <c r="AT1843" s="4"/>
      <c r="AU1843" s="4"/>
      <c r="AV1843" s="4"/>
    </row>
    <row r="1844" spans="4:48" x14ac:dyDescent="0.3">
      <c r="D1844" s="5"/>
      <c r="E1844" s="5"/>
      <c r="F1844" s="20"/>
      <c r="G1844" s="20"/>
      <c r="H1844" s="5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4"/>
      <c r="T1844" s="4"/>
      <c r="U1844" s="4"/>
      <c r="V1844" s="4"/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  <c r="AG1844" s="4"/>
      <c r="AH1844" s="4"/>
      <c r="AI1844" s="4"/>
      <c r="AJ1844" s="4"/>
      <c r="AK1844" s="4"/>
      <c r="AL1844" s="4"/>
      <c r="AM1844" s="4"/>
      <c r="AN1844" s="4"/>
      <c r="AO1844" s="4"/>
      <c r="AP1844" s="4"/>
      <c r="AQ1844" s="4"/>
      <c r="AR1844" s="4"/>
      <c r="AS1844" s="4"/>
      <c r="AT1844" s="4"/>
      <c r="AU1844" s="4"/>
      <c r="AV1844" s="4"/>
    </row>
    <row r="1845" spans="4:48" x14ac:dyDescent="0.3">
      <c r="D1845" s="5"/>
      <c r="E1845" s="5"/>
      <c r="F1845" s="20"/>
      <c r="G1845" s="20"/>
      <c r="H1845" s="5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4"/>
      <c r="T1845" s="4"/>
      <c r="U1845" s="4"/>
      <c r="V1845" s="4"/>
      <c r="W1845" s="4"/>
      <c r="X1845" s="4"/>
      <c r="Y1845" s="4"/>
      <c r="Z1845" s="4"/>
      <c r="AA1845" s="4"/>
      <c r="AB1845" s="4"/>
      <c r="AC1845" s="4"/>
      <c r="AD1845" s="4"/>
      <c r="AE1845" s="4"/>
      <c r="AF1845" s="4"/>
      <c r="AG1845" s="4"/>
      <c r="AH1845" s="4"/>
      <c r="AI1845" s="4"/>
      <c r="AJ1845" s="4"/>
      <c r="AK1845" s="4"/>
      <c r="AL1845" s="4"/>
      <c r="AM1845" s="4"/>
      <c r="AN1845" s="4"/>
      <c r="AO1845" s="4"/>
      <c r="AP1845" s="4"/>
      <c r="AQ1845" s="4"/>
      <c r="AR1845" s="4"/>
      <c r="AS1845" s="4"/>
      <c r="AT1845" s="4"/>
      <c r="AU1845" s="4"/>
      <c r="AV1845" s="4"/>
    </row>
    <row r="1846" spans="4:48" x14ac:dyDescent="0.3">
      <c r="D1846" s="5"/>
      <c r="E1846" s="5"/>
      <c r="F1846" s="20"/>
      <c r="G1846" s="20"/>
      <c r="H1846" s="5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4"/>
      <c r="T1846" s="4"/>
      <c r="U1846" s="4"/>
      <c r="V1846" s="4"/>
      <c r="W1846" s="4"/>
      <c r="X1846" s="4"/>
      <c r="Y1846" s="4"/>
      <c r="Z1846" s="4"/>
      <c r="AA1846" s="4"/>
      <c r="AB1846" s="4"/>
      <c r="AC1846" s="4"/>
      <c r="AD1846" s="4"/>
      <c r="AE1846" s="4"/>
      <c r="AF1846" s="4"/>
      <c r="AG1846" s="4"/>
      <c r="AH1846" s="4"/>
      <c r="AI1846" s="4"/>
      <c r="AJ1846" s="4"/>
      <c r="AK1846" s="4"/>
      <c r="AL1846" s="4"/>
      <c r="AM1846" s="4"/>
      <c r="AN1846" s="4"/>
      <c r="AO1846" s="4"/>
      <c r="AP1846" s="4"/>
      <c r="AQ1846" s="4"/>
      <c r="AR1846" s="4"/>
      <c r="AS1846" s="4"/>
      <c r="AT1846" s="4"/>
      <c r="AU1846" s="4"/>
      <c r="AV1846" s="4"/>
    </row>
    <row r="1847" spans="4:48" x14ac:dyDescent="0.3">
      <c r="D1847" s="5"/>
      <c r="E1847" s="5"/>
      <c r="F1847" s="20"/>
      <c r="G1847" s="20"/>
      <c r="H1847" s="5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4"/>
      <c r="T1847" s="4"/>
      <c r="U1847" s="4"/>
      <c r="V1847" s="4"/>
      <c r="W1847" s="4"/>
      <c r="X1847" s="4"/>
      <c r="Y1847" s="4"/>
      <c r="Z1847" s="4"/>
      <c r="AA1847" s="4"/>
      <c r="AB1847" s="4"/>
      <c r="AC1847" s="4"/>
      <c r="AD1847" s="4"/>
      <c r="AE1847" s="4"/>
      <c r="AF1847" s="4"/>
      <c r="AG1847" s="4"/>
      <c r="AH1847" s="4"/>
      <c r="AI1847" s="4"/>
      <c r="AJ1847" s="4"/>
      <c r="AK1847" s="4"/>
      <c r="AL1847" s="4"/>
      <c r="AM1847" s="4"/>
      <c r="AN1847" s="4"/>
      <c r="AO1847" s="4"/>
      <c r="AP1847" s="4"/>
      <c r="AQ1847" s="4"/>
      <c r="AR1847" s="4"/>
      <c r="AS1847" s="4"/>
      <c r="AT1847" s="4"/>
      <c r="AU1847" s="4"/>
      <c r="AV1847" s="4"/>
    </row>
    <row r="1848" spans="4:48" x14ac:dyDescent="0.3">
      <c r="D1848" s="5"/>
      <c r="E1848" s="5"/>
      <c r="F1848" s="20"/>
      <c r="G1848" s="20"/>
      <c r="H1848" s="5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4"/>
      <c r="T1848" s="4"/>
      <c r="U1848" s="4"/>
      <c r="V1848" s="4"/>
      <c r="W1848" s="4"/>
      <c r="X1848" s="4"/>
      <c r="Y1848" s="4"/>
      <c r="Z1848" s="4"/>
      <c r="AA1848" s="4"/>
      <c r="AB1848" s="4"/>
      <c r="AC1848" s="4"/>
      <c r="AD1848" s="4"/>
      <c r="AE1848" s="4"/>
      <c r="AF1848" s="4"/>
      <c r="AG1848" s="4"/>
      <c r="AH1848" s="4"/>
      <c r="AI1848" s="4"/>
      <c r="AJ1848" s="4"/>
      <c r="AK1848" s="4"/>
      <c r="AL1848" s="4"/>
      <c r="AM1848" s="4"/>
      <c r="AN1848" s="4"/>
      <c r="AO1848" s="4"/>
      <c r="AP1848" s="4"/>
      <c r="AQ1848" s="4"/>
      <c r="AR1848" s="4"/>
      <c r="AS1848" s="4"/>
      <c r="AT1848" s="4"/>
      <c r="AU1848" s="4"/>
      <c r="AV1848" s="4"/>
    </row>
    <row r="1849" spans="4:48" x14ac:dyDescent="0.3">
      <c r="D1849" s="5"/>
      <c r="E1849" s="5"/>
      <c r="F1849" s="20"/>
      <c r="G1849" s="20"/>
      <c r="H1849" s="5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4"/>
      <c r="T1849" s="4"/>
      <c r="U1849" s="4"/>
      <c r="V1849" s="4"/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  <c r="AG1849" s="4"/>
      <c r="AH1849" s="4"/>
      <c r="AI1849" s="4"/>
      <c r="AJ1849" s="4"/>
      <c r="AK1849" s="4"/>
      <c r="AL1849" s="4"/>
      <c r="AM1849" s="4"/>
      <c r="AN1849" s="4"/>
      <c r="AO1849" s="4"/>
      <c r="AP1849" s="4"/>
      <c r="AQ1849" s="4"/>
      <c r="AR1849" s="4"/>
      <c r="AS1849" s="4"/>
      <c r="AT1849" s="4"/>
      <c r="AU1849" s="4"/>
      <c r="AV1849" s="4"/>
    </row>
    <row r="1850" spans="4:48" x14ac:dyDescent="0.3">
      <c r="D1850" s="5"/>
      <c r="E1850" s="5"/>
      <c r="F1850" s="20"/>
      <c r="G1850" s="20"/>
      <c r="H1850" s="5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4"/>
      <c r="T1850" s="4"/>
      <c r="U1850" s="4"/>
      <c r="V1850" s="4"/>
      <c r="W1850" s="4"/>
      <c r="X1850" s="4"/>
      <c r="Y1850" s="4"/>
      <c r="Z1850" s="4"/>
      <c r="AA1850" s="4"/>
      <c r="AB1850" s="4"/>
      <c r="AC1850" s="4"/>
      <c r="AD1850" s="4"/>
      <c r="AE1850" s="4"/>
      <c r="AF1850" s="4"/>
      <c r="AG1850" s="4"/>
      <c r="AH1850" s="4"/>
      <c r="AI1850" s="4"/>
      <c r="AJ1850" s="4"/>
      <c r="AK1850" s="4"/>
      <c r="AL1850" s="4"/>
      <c r="AM1850" s="4"/>
      <c r="AN1850" s="4"/>
      <c r="AO1850" s="4"/>
      <c r="AP1850" s="4"/>
      <c r="AQ1850" s="4"/>
      <c r="AR1850" s="4"/>
      <c r="AS1850" s="4"/>
      <c r="AT1850" s="4"/>
      <c r="AU1850" s="4"/>
      <c r="AV1850" s="4"/>
    </row>
    <row r="1851" spans="4:48" x14ac:dyDescent="0.3">
      <c r="D1851" s="5"/>
      <c r="E1851" s="5"/>
      <c r="F1851" s="20"/>
      <c r="G1851" s="20"/>
      <c r="H1851" s="5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4"/>
      <c r="T1851" s="4"/>
      <c r="U1851" s="4"/>
      <c r="V1851" s="4"/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  <c r="AG1851" s="4"/>
      <c r="AH1851" s="4"/>
      <c r="AI1851" s="4"/>
      <c r="AJ1851" s="4"/>
      <c r="AK1851" s="4"/>
      <c r="AL1851" s="4"/>
      <c r="AM1851" s="4"/>
      <c r="AN1851" s="4"/>
      <c r="AO1851" s="4"/>
      <c r="AP1851" s="4"/>
      <c r="AQ1851" s="4"/>
      <c r="AR1851" s="4"/>
      <c r="AS1851" s="4"/>
      <c r="AT1851" s="4"/>
      <c r="AU1851" s="4"/>
      <c r="AV1851" s="4"/>
    </row>
    <row r="1852" spans="4:48" x14ac:dyDescent="0.3">
      <c r="D1852" s="5"/>
      <c r="E1852" s="5"/>
      <c r="F1852" s="20"/>
      <c r="G1852" s="20"/>
      <c r="H1852" s="5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4"/>
      <c r="T1852" s="4"/>
      <c r="U1852" s="4"/>
      <c r="V1852" s="4"/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  <c r="AG1852" s="4"/>
      <c r="AH1852" s="4"/>
      <c r="AI1852" s="4"/>
      <c r="AJ1852" s="4"/>
      <c r="AK1852" s="4"/>
      <c r="AL1852" s="4"/>
      <c r="AM1852" s="4"/>
      <c r="AN1852" s="4"/>
      <c r="AO1852" s="4"/>
      <c r="AP1852" s="4"/>
      <c r="AQ1852" s="4"/>
      <c r="AR1852" s="4"/>
      <c r="AS1852" s="4"/>
      <c r="AT1852" s="4"/>
      <c r="AU1852" s="4"/>
      <c r="AV1852" s="4"/>
    </row>
    <row r="1853" spans="4:48" x14ac:dyDescent="0.3">
      <c r="D1853" s="5"/>
      <c r="E1853" s="5"/>
      <c r="F1853" s="20"/>
      <c r="G1853" s="20"/>
      <c r="H1853" s="5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  <c r="AD1853" s="4"/>
      <c r="AE1853" s="4"/>
      <c r="AF1853" s="4"/>
      <c r="AG1853" s="4"/>
      <c r="AH1853" s="4"/>
      <c r="AI1853" s="4"/>
      <c r="AJ1853" s="4"/>
      <c r="AK1853" s="4"/>
      <c r="AL1853" s="4"/>
      <c r="AM1853" s="4"/>
      <c r="AN1853" s="4"/>
      <c r="AO1853" s="4"/>
      <c r="AP1853" s="4"/>
      <c r="AQ1853" s="4"/>
      <c r="AR1853" s="4"/>
      <c r="AS1853" s="4"/>
      <c r="AT1853" s="4"/>
      <c r="AU1853" s="4"/>
      <c r="AV1853" s="4"/>
    </row>
    <row r="1854" spans="4:48" x14ac:dyDescent="0.3">
      <c r="D1854" s="5"/>
      <c r="E1854" s="5"/>
      <c r="F1854" s="20"/>
      <c r="G1854" s="20"/>
      <c r="H1854" s="5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4"/>
      <c r="T1854" s="4"/>
      <c r="U1854" s="4"/>
      <c r="V1854" s="4"/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  <c r="AG1854" s="4"/>
      <c r="AH1854" s="4"/>
      <c r="AI1854" s="4"/>
      <c r="AJ1854" s="4"/>
      <c r="AK1854" s="4"/>
      <c r="AL1854" s="4"/>
      <c r="AM1854" s="4"/>
      <c r="AN1854" s="4"/>
      <c r="AO1854" s="4"/>
      <c r="AP1854" s="4"/>
      <c r="AQ1854" s="4"/>
      <c r="AR1854" s="4"/>
      <c r="AS1854" s="4"/>
      <c r="AT1854" s="4"/>
      <c r="AU1854" s="4"/>
      <c r="AV1854" s="4"/>
    </row>
    <row r="1855" spans="4:48" x14ac:dyDescent="0.3">
      <c r="D1855" s="5"/>
      <c r="E1855" s="5"/>
      <c r="F1855" s="20"/>
      <c r="G1855" s="20"/>
      <c r="H1855" s="5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4"/>
      <c r="T1855" s="4"/>
      <c r="U1855" s="4"/>
      <c r="V1855" s="4"/>
      <c r="W1855" s="4"/>
      <c r="X1855" s="4"/>
      <c r="Y1855" s="4"/>
      <c r="Z1855" s="4"/>
      <c r="AA1855" s="4"/>
      <c r="AB1855" s="4"/>
      <c r="AC1855" s="4"/>
      <c r="AD1855" s="4"/>
      <c r="AE1855" s="4"/>
      <c r="AF1855" s="4"/>
      <c r="AG1855" s="4"/>
      <c r="AH1855" s="4"/>
      <c r="AI1855" s="4"/>
      <c r="AJ1855" s="4"/>
      <c r="AK1855" s="4"/>
      <c r="AL1855" s="4"/>
      <c r="AM1855" s="4"/>
      <c r="AN1855" s="4"/>
      <c r="AO1855" s="4"/>
      <c r="AP1855" s="4"/>
      <c r="AQ1855" s="4"/>
      <c r="AR1855" s="4"/>
      <c r="AS1855" s="4"/>
      <c r="AT1855" s="4"/>
      <c r="AU1855" s="4"/>
      <c r="AV1855" s="4"/>
    </row>
    <row r="1856" spans="4:48" x14ac:dyDescent="0.3">
      <c r="D1856" s="5"/>
      <c r="E1856" s="5"/>
      <c r="F1856" s="20"/>
      <c r="G1856" s="20"/>
      <c r="H1856" s="5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4"/>
      <c r="T1856" s="4"/>
      <c r="U1856" s="4"/>
      <c r="V1856" s="4"/>
      <c r="W1856" s="4"/>
      <c r="X1856" s="4"/>
      <c r="Y1856" s="4"/>
      <c r="Z1856" s="4"/>
      <c r="AA1856" s="4"/>
      <c r="AB1856" s="4"/>
      <c r="AC1856" s="4"/>
      <c r="AD1856" s="4"/>
      <c r="AE1856" s="4"/>
      <c r="AF1856" s="4"/>
      <c r="AG1856" s="4"/>
      <c r="AH1856" s="4"/>
      <c r="AI1856" s="4"/>
      <c r="AJ1856" s="4"/>
      <c r="AK1856" s="4"/>
      <c r="AL1856" s="4"/>
      <c r="AM1856" s="4"/>
      <c r="AN1856" s="4"/>
      <c r="AO1856" s="4"/>
      <c r="AP1856" s="4"/>
      <c r="AQ1856" s="4"/>
      <c r="AR1856" s="4"/>
      <c r="AS1856" s="4"/>
      <c r="AT1856" s="4"/>
      <c r="AU1856" s="4"/>
      <c r="AV1856" s="4"/>
    </row>
    <row r="1857" spans="4:48" x14ac:dyDescent="0.3">
      <c r="D1857" s="5"/>
      <c r="E1857" s="5"/>
      <c r="F1857" s="20"/>
      <c r="G1857" s="20"/>
      <c r="H1857" s="5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4"/>
      <c r="T1857" s="4"/>
      <c r="U1857" s="4"/>
      <c r="V1857" s="4"/>
      <c r="W1857" s="4"/>
      <c r="X1857" s="4"/>
      <c r="Y1857" s="4"/>
      <c r="Z1857" s="4"/>
      <c r="AA1857" s="4"/>
      <c r="AB1857" s="4"/>
      <c r="AC1857" s="4"/>
      <c r="AD1857" s="4"/>
      <c r="AE1857" s="4"/>
      <c r="AF1857" s="4"/>
      <c r="AG1857" s="4"/>
      <c r="AH1857" s="4"/>
      <c r="AI1857" s="4"/>
      <c r="AJ1857" s="4"/>
      <c r="AK1857" s="4"/>
      <c r="AL1857" s="4"/>
      <c r="AM1857" s="4"/>
      <c r="AN1857" s="4"/>
      <c r="AO1857" s="4"/>
      <c r="AP1857" s="4"/>
      <c r="AQ1857" s="4"/>
      <c r="AR1857" s="4"/>
      <c r="AS1857" s="4"/>
      <c r="AT1857" s="4"/>
      <c r="AU1857" s="4"/>
      <c r="AV1857" s="4"/>
    </row>
    <row r="1858" spans="4:48" x14ac:dyDescent="0.3">
      <c r="D1858" s="5"/>
      <c r="E1858" s="5"/>
      <c r="F1858" s="20"/>
      <c r="G1858" s="20"/>
      <c r="H1858" s="5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4"/>
      <c r="T1858" s="4"/>
      <c r="U1858" s="4"/>
      <c r="V1858" s="4"/>
      <c r="W1858" s="4"/>
      <c r="X1858" s="4"/>
      <c r="Y1858" s="4"/>
      <c r="Z1858" s="4"/>
      <c r="AA1858" s="4"/>
      <c r="AB1858" s="4"/>
      <c r="AC1858" s="4"/>
      <c r="AD1858" s="4"/>
      <c r="AE1858" s="4"/>
      <c r="AF1858" s="4"/>
      <c r="AG1858" s="4"/>
      <c r="AH1858" s="4"/>
      <c r="AI1858" s="4"/>
      <c r="AJ1858" s="4"/>
      <c r="AK1858" s="4"/>
      <c r="AL1858" s="4"/>
      <c r="AM1858" s="4"/>
      <c r="AN1858" s="4"/>
      <c r="AO1858" s="4"/>
      <c r="AP1858" s="4"/>
      <c r="AQ1858" s="4"/>
      <c r="AR1858" s="4"/>
      <c r="AS1858" s="4"/>
      <c r="AT1858" s="4"/>
      <c r="AU1858" s="4"/>
      <c r="AV1858" s="4"/>
    </row>
    <row r="1859" spans="4:48" x14ac:dyDescent="0.3">
      <c r="D1859" s="5"/>
      <c r="E1859" s="5"/>
      <c r="F1859" s="20"/>
      <c r="G1859" s="20"/>
      <c r="H1859" s="5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4"/>
      <c r="T1859" s="4"/>
      <c r="U1859" s="4"/>
      <c r="V1859" s="4"/>
      <c r="W1859" s="4"/>
      <c r="X1859" s="4"/>
      <c r="Y1859" s="4"/>
      <c r="Z1859" s="4"/>
      <c r="AA1859" s="4"/>
      <c r="AB1859" s="4"/>
      <c r="AC1859" s="4"/>
      <c r="AD1859" s="4"/>
      <c r="AE1859" s="4"/>
      <c r="AF1859" s="4"/>
      <c r="AG1859" s="4"/>
      <c r="AH1859" s="4"/>
      <c r="AI1859" s="4"/>
      <c r="AJ1859" s="4"/>
      <c r="AK1859" s="4"/>
      <c r="AL1859" s="4"/>
      <c r="AM1859" s="4"/>
      <c r="AN1859" s="4"/>
      <c r="AO1859" s="4"/>
      <c r="AP1859" s="4"/>
      <c r="AQ1859" s="4"/>
      <c r="AR1859" s="4"/>
      <c r="AS1859" s="4"/>
      <c r="AT1859" s="4"/>
      <c r="AU1859" s="4"/>
      <c r="AV1859" s="4"/>
    </row>
    <row r="1860" spans="4:48" x14ac:dyDescent="0.3">
      <c r="D1860" s="5"/>
      <c r="E1860" s="5"/>
      <c r="F1860" s="20"/>
      <c r="G1860" s="20"/>
      <c r="H1860" s="5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4"/>
      <c r="T1860" s="4"/>
      <c r="U1860" s="4"/>
      <c r="V1860" s="4"/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  <c r="AG1860" s="4"/>
      <c r="AH1860" s="4"/>
      <c r="AI1860" s="4"/>
      <c r="AJ1860" s="4"/>
      <c r="AK1860" s="4"/>
      <c r="AL1860" s="4"/>
      <c r="AM1860" s="4"/>
      <c r="AN1860" s="4"/>
      <c r="AO1860" s="4"/>
      <c r="AP1860" s="4"/>
      <c r="AQ1860" s="4"/>
      <c r="AR1860" s="4"/>
      <c r="AS1860" s="4"/>
      <c r="AT1860" s="4"/>
      <c r="AU1860" s="4"/>
      <c r="AV1860" s="4"/>
    </row>
    <row r="1861" spans="4:48" x14ac:dyDescent="0.3">
      <c r="D1861" s="5"/>
      <c r="E1861" s="5"/>
      <c r="F1861" s="20"/>
      <c r="G1861" s="20"/>
      <c r="H1861" s="5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4"/>
      <c r="T1861" s="4"/>
      <c r="U1861" s="4"/>
      <c r="V1861" s="4"/>
      <c r="W1861" s="4"/>
      <c r="X1861" s="4"/>
      <c r="Y1861" s="4"/>
      <c r="Z1861" s="4"/>
      <c r="AA1861" s="4"/>
      <c r="AB1861" s="4"/>
      <c r="AC1861" s="4"/>
      <c r="AD1861" s="4"/>
      <c r="AE1861" s="4"/>
      <c r="AF1861" s="4"/>
      <c r="AG1861" s="4"/>
      <c r="AH1861" s="4"/>
      <c r="AI1861" s="4"/>
      <c r="AJ1861" s="4"/>
      <c r="AK1861" s="4"/>
      <c r="AL1861" s="4"/>
      <c r="AM1861" s="4"/>
      <c r="AN1861" s="4"/>
      <c r="AO1861" s="4"/>
      <c r="AP1861" s="4"/>
      <c r="AQ1861" s="4"/>
      <c r="AR1861" s="4"/>
      <c r="AS1861" s="4"/>
      <c r="AT1861" s="4"/>
      <c r="AU1861" s="4"/>
      <c r="AV1861" s="4"/>
    </row>
    <row r="1862" spans="4:48" x14ac:dyDescent="0.3">
      <c r="D1862" s="5"/>
      <c r="E1862" s="5"/>
      <c r="F1862" s="20"/>
      <c r="G1862" s="20"/>
      <c r="H1862" s="5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4"/>
      <c r="T1862" s="4"/>
      <c r="U1862" s="4"/>
      <c r="V1862" s="4"/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  <c r="AG1862" s="4"/>
      <c r="AH1862" s="4"/>
      <c r="AI1862" s="4"/>
      <c r="AJ1862" s="4"/>
      <c r="AK1862" s="4"/>
      <c r="AL1862" s="4"/>
      <c r="AM1862" s="4"/>
      <c r="AN1862" s="4"/>
      <c r="AO1862" s="4"/>
      <c r="AP1862" s="4"/>
      <c r="AQ1862" s="4"/>
      <c r="AR1862" s="4"/>
      <c r="AS1862" s="4"/>
      <c r="AT1862" s="4"/>
      <c r="AU1862" s="4"/>
      <c r="AV1862" s="4"/>
    </row>
    <row r="1863" spans="4:48" x14ac:dyDescent="0.3">
      <c r="D1863" s="5"/>
      <c r="E1863" s="5"/>
      <c r="F1863" s="20"/>
      <c r="G1863" s="20"/>
      <c r="H1863" s="5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4"/>
      <c r="T1863" s="4"/>
      <c r="U1863" s="4"/>
      <c r="V1863" s="4"/>
      <c r="W1863" s="4"/>
      <c r="X1863" s="4"/>
      <c r="Y1863" s="4"/>
      <c r="Z1863" s="4"/>
      <c r="AA1863" s="4"/>
      <c r="AB1863" s="4"/>
      <c r="AC1863" s="4"/>
      <c r="AD1863" s="4"/>
      <c r="AE1863" s="4"/>
      <c r="AF1863" s="4"/>
      <c r="AG1863" s="4"/>
      <c r="AH1863" s="4"/>
      <c r="AI1863" s="4"/>
      <c r="AJ1863" s="4"/>
      <c r="AK1863" s="4"/>
      <c r="AL1863" s="4"/>
      <c r="AM1863" s="4"/>
      <c r="AN1863" s="4"/>
      <c r="AO1863" s="4"/>
      <c r="AP1863" s="4"/>
      <c r="AQ1863" s="4"/>
      <c r="AR1863" s="4"/>
      <c r="AS1863" s="4"/>
      <c r="AT1863" s="4"/>
      <c r="AU1863" s="4"/>
      <c r="AV1863" s="4"/>
    </row>
    <row r="1864" spans="4:48" x14ac:dyDescent="0.3">
      <c r="D1864" s="5"/>
      <c r="E1864" s="5"/>
      <c r="F1864" s="20"/>
      <c r="G1864" s="20"/>
      <c r="H1864" s="5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4"/>
      <c r="T1864" s="4"/>
      <c r="U1864" s="4"/>
      <c r="V1864" s="4"/>
      <c r="W1864" s="4"/>
      <c r="X1864" s="4"/>
      <c r="Y1864" s="4"/>
      <c r="Z1864" s="4"/>
      <c r="AA1864" s="4"/>
      <c r="AB1864" s="4"/>
      <c r="AC1864" s="4"/>
      <c r="AD1864" s="4"/>
      <c r="AE1864" s="4"/>
      <c r="AF1864" s="4"/>
      <c r="AG1864" s="4"/>
      <c r="AH1864" s="4"/>
      <c r="AI1864" s="4"/>
      <c r="AJ1864" s="4"/>
      <c r="AK1864" s="4"/>
      <c r="AL1864" s="4"/>
      <c r="AM1864" s="4"/>
      <c r="AN1864" s="4"/>
      <c r="AO1864" s="4"/>
      <c r="AP1864" s="4"/>
      <c r="AQ1864" s="4"/>
      <c r="AR1864" s="4"/>
      <c r="AS1864" s="4"/>
      <c r="AT1864" s="4"/>
      <c r="AU1864" s="4"/>
      <c r="AV1864" s="4"/>
    </row>
    <row r="1865" spans="4:48" x14ac:dyDescent="0.3">
      <c r="D1865" s="5"/>
      <c r="E1865" s="5"/>
      <c r="F1865" s="20"/>
      <c r="G1865" s="20"/>
      <c r="H1865" s="5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4"/>
      <c r="T1865" s="4"/>
      <c r="U1865" s="4"/>
      <c r="V1865" s="4"/>
      <c r="W1865" s="4"/>
      <c r="X1865" s="4"/>
      <c r="Y1865" s="4"/>
      <c r="Z1865" s="4"/>
      <c r="AA1865" s="4"/>
      <c r="AB1865" s="4"/>
      <c r="AC1865" s="4"/>
      <c r="AD1865" s="4"/>
      <c r="AE1865" s="4"/>
      <c r="AF1865" s="4"/>
      <c r="AG1865" s="4"/>
      <c r="AH1865" s="4"/>
      <c r="AI1865" s="4"/>
      <c r="AJ1865" s="4"/>
      <c r="AK1865" s="4"/>
      <c r="AL1865" s="4"/>
      <c r="AM1865" s="4"/>
      <c r="AN1865" s="4"/>
      <c r="AO1865" s="4"/>
      <c r="AP1865" s="4"/>
      <c r="AQ1865" s="4"/>
      <c r="AR1865" s="4"/>
      <c r="AS1865" s="4"/>
      <c r="AT1865" s="4"/>
      <c r="AU1865" s="4"/>
      <c r="AV1865" s="4"/>
    </row>
    <row r="1866" spans="4:48" x14ac:dyDescent="0.3">
      <c r="D1866" s="5"/>
      <c r="E1866" s="5"/>
      <c r="F1866" s="20"/>
      <c r="G1866" s="20"/>
      <c r="H1866" s="5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4"/>
      <c r="T1866" s="4"/>
      <c r="U1866" s="4"/>
      <c r="V1866" s="4"/>
      <c r="W1866" s="4"/>
      <c r="X1866" s="4"/>
      <c r="Y1866" s="4"/>
      <c r="Z1866" s="4"/>
      <c r="AA1866" s="4"/>
      <c r="AB1866" s="4"/>
      <c r="AC1866" s="4"/>
      <c r="AD1866" s="4"/>
      <c r="AE1866" s="4"/>
      <c r="AF1866" s="4"/>
      <c r="AG1866" s="4"/>
      <c r="AH1866" s="4"/>
      <c r="AI1866" s="4"/>
      <c r="AJ1866" s="4"/>
      <c r="AK1866" s="4"/>
      <c r="AL1866" s="4"/>
      <c r="AM1866" s="4"/>
      <c r="AN1866" s="4"/>
      <c r="AO1866" s="4"/>
      <c r="AP1866" s="4"/>
      <c r="AQ1866" s="4"/>
      <c r="AR1866" s="4"/>
      <c r="AS1866" s="4"/>
      <c r="AT1866" s="4"/>
      <c r="AU1866" s="4"/>
      <c r="AV1866" s="4"/>
    </row>
    <row r="1867" spans="4:48" x14ac:dyDescent="0.3">
      <c r="D1867" s="5"/>
      <c r="E1867" s="5"/>
      <c r="F1867" s="20"/>
      <c r="G1867" s="20"/>
      <c r="H1867" s="5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4"/>
      <c r="T1867" s="4"/>
      <c r="U1867" s="4"/>
      <c r="V1867" s="4"/>
      <c r="W1867" s="4"/>
      <c r="X1867" s="4"/>
      <c r="Y1867" s="4"/>
      <c r="Z1867" s="4"/>
      <c r="AA1867" s="4"/>
      <c r="AB1867" s="4"/>
      <c r="AC1867" s="4"/>
      <c r="AD1867" s="4"/>
      <c r="AE1867" s="4"/>
      <c r="AF1867" s="4"/>
      <c r="AG1867" s="4"/>
      <c r="AH1867" s="4"/>
      <c r="AI1867" s="4"/>
      <c r="AJ1867" s="4"/>
      <c r="AK1867" s="4"/>
      <c r="AL1867" s="4"/>
      <c r="AM1867" s="4"/>
      <c r="AN1867" s="4"/>
      <c r="AO1867" s="4"/>
      <c r="AP1867" s="4"/>
      <c r="AQ1867" s="4"/>
      <c r="AR1867" s="4"/>
      <c r="AS1867" s="4"/>
      <c r="AT1867" s="4"/>
      <c r="AU1867" s="4"/>
      <c r="AV1867" s="4"/>
    </row>
    <row r="1868" spans="4:48" x14ac:dyDescent="0.3">
      <c r="D1868" s="5"/>
      <c r="E1868" s="5"/>
      <c r="F1868" s="20"/>
      <c r="G1868" s="20"/>
      <c r="H1868" s="5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4"/>
      <c r="T1868" s="4"/>
      <c r="U1868" s="4"/>
      <c r="V1868" s="4"/>
      <c r="W1868" s="4"/>
      <c r="X1868" s="4"/>
      <c r="Y1868" s="4"/>
      <c r="Z1868" s="4"/>
      <c r="AA1868" s="4"/>
      <c r="AB1868" s="4"/>
      <c r="AC1868" s="4"/>
      <c r="AD1868" s="4"/>
      <c r="AE1868" s="4"/>
      <c r="AF1868" s="4"/>
      <c r="AG1868" s="4"/>
      <c r="AH1868" s="4"/>
      <c r="AI1868" s="4"/>
      <c r="AJ1868" s="4"/>
      <c r="AK1868" s="4"/>
      <c r="AL1868" s="4"/>
      <c r="AM1868" s="4"/>
      <c r="AN1868" s="4"/>
      <c r="AO1868" s="4"/>
      <c r="AP1868" s="4"/>
      <c r="AQ1868" s="4"/>
      <c r="AR1868" s="4"/>
      <c r="AS1868" s="4"/>
      <c r="AT1868" s="4"/>
      <c r="AU1868" s="4"/>
      <c r="AV1868" s="4"/>
    </row>
    <row r="1869" spans="4:48" x14ac:dyDescent="0.3">
      <c r="D1869" s="5"/>
      <c r="E1869" s="5"/>
      <c r="F1869" s="20"/>
      <c r="G1869" s="20"/>
      <c r="H1869" s="5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4"/>
      <c r="T1869" s="4"/>
      <c r="U1869" s="4"/>
      <c r="V1869" s="4"/>
      <c r="W1869" s="4"/>
      <c r="X1869" s="4"/>
      <c r="Y1869" s="4"/>
      <c r="Z1869" s="4"/>
      <c r="AA1869" s="4"/>
      <c r="AB1869" s="4"/>
      <c r="AC1869" s="4"/>
      <c r="AD1869" s="4"/>
      <c r="AE1869" s="4"/>
      <c r="AF1869" s="4"/>
      <c r="AG1869" s="4"/>
      <c r="AH1869" s="4"/>
      <c r="AI1869" s="4"/>
      <c r="AJ1869" s="4"/>
      <c r="AK1869" s="4"/>
      <c r="AL1869" s="4"/>
      <c r="AM1869" s="4"/>
      <c r="AN1869" s="4"/>
      <c r="AO1869" s="4"/>
      <c r="AP1869" s="4"/>
      <c r="AQ1869" s="4"/>
      <c r="AR1869" s="4"/>
      <c r="AS1869" s="4"/>
      <c r="AT1869" s="4"/>
      <c r="AU1869" s="4"/>
      <c r="AV1869" s="4"/>
    </row>
    <row r="1870" spans="4:48" x14ac:dyDescent="0.3">
      <c r="D1870" s="5"/>
      <c r="E1870" s="5"/>
      <c r="F1870" s="20"/>
      <c r="G1870" s="20"/>
      <c r="H1870" s="5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4"/>
      <c r="T1870" s="4"/>
      <c r="U1870" s="4"/>
      <c r="V1870" s="4"/>
      <c r="W1870" s="4"/>
      <c r="X1870" s="4"/>
      <c r="Y1870" s="4"/>
      <c r="Z1870" s="4"/>
      <c r="AA1870" s="4"/>
      <c r="AB1870" s="4"/>
      <c r="AC1870" s="4"/>
      <c r="AD1870" s="4"/>
      <c r="AE1870" s="4"/>
      <c r="AF1870" s="4"/>
      <c r="AG1870" s="4"/>
      <c r="AH1870" s="4"/>
      <c r="AI1870" s="4"/>
      <c r="AJ1870" s="4"/>
      <c r="AK1870" s="4"/>
      <c r="AL1870" s="4"/>
      <c r="AM1870" s="4"/>
      <c r="AN1870" s="4"/>
      <c r="AO1870" s="4"/>
      <c r="AP1870" s="4"/>
      <c r="AQ1870" s="4"/>
      <c r="AR1870" s="4"/>
      <c r="AS1870" s="4"/>
      <c r="AT1870" s="4"/>
      <c r="AU1870" s="4"/>
      <c r="AV1870" s="4"/>
    </row>
    <row r="1871" spans="4:48" x14ac:dyDescent="0.3">
      <c r="D1871" s="5"/>
      <c r="E1871" s="5"/>
      <c r="F1871" s="20"/>
      <c r="G1871" s="20"/>
      <c r="H1871" s="5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4"/>
      <c r="T1871" s="4"/>
      <c r="U1871" s="4"/>
      <c r="V1871" s="4"/>
      <c r="W1871" s="4"/>
      <c r="X1871" s="4"/>
      <c r="Y1871" s="4"/>
      <c r="Z1871" s="4"/>
      <c r="AA1871" s="4"/>
      <c r="AB1871" s="4"/>
      <c r="AC1871" s="4"/>
      <c r="AD1871" s="4"/>
      <c r="AE1871" s="4"/>
      <c r="AF1871" s="4"/>
      <c r="AG1871" s="4"/>
      <c r="AH1871" s="4"/>
      <c r="AI1871" s="4"/>
      <c r="AJ1871" s="4"/>
      <c r="AK1871" s="4"/>
      <c r="AL1871" s="4"/>
      <c r="AM1871" s="4"/>
      <c r="AN1871" s="4"/>
      <c r="AO1871" s="4"/>
      <c r="AP1871" s="4"/>
      <c r="AQ1871" s="4"/>
      <c r="AR1871" s="4"/>
      <c r="AS1871" s="4"/>
      <c r="AT1871" s="4"/>
      <c r="AU1871" s="4"/>
      <c r="AV1871" s="4"/>
    </row>
    <row r="1872" spans="4:48" x14ac:dyDescent="0.3">
      <c r="D1872" s="5"/>
      <c r="E1872" s="5"/>
      <c r="F1872" s="20"/>
      <c r="G1872" s="20"/>
      <c r="H1872" s="5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4"/>
      <c r="T1872" s="4"/>
      <c r="U1872" s="4"/>
      <c r="V1872" s="4"/>
      <c r="W1872" s="4"/>
      <c r="X1872" s="4"/>
      <c r="Y1872" s="4"/>
      <c r="Z1872" s="4"/>
      <c r="AA1872" s="4"/>
      <c r="AB1872" s="4"/>
      <c r="AC1872" s="4"/>
      <c r="AD1872" s="4"/>
      <c r="AE1872" s="4"/>
      <c r="AF1872" s="4"/>
      <c r="AG1872" s="4"/>
      <c r="AH1872" s="4"/>
      <c r="AI1872" s="4"/>
      <c r="AJ1872" s="4"/>
      <c r="AK1872" s="4"/>
      <c r="AL1872" s="4"/>
      <c r="AM1872" s="4"/>
      <c r="AN1872" s="4"/>
      <c r="AO1872" s="4"/>
      <c r="AP1872" s="4"/>
      <c r="AQ1872" s="4"/>
      <c r="AR1872" s="4"/>
      <c r="AS1872" s="4"/>
      <c r="AT1872" s="4"/>
      <c r="AU1872" s="4"/>
      <c r="AV1872" s="4"/>
    </row>
    <row r="1873" spans="4:48" x14ac:dyDescent="0.3">
      <c r="D1873" s="5"/>
      <c r="E1873" s="5"/>
      <c r="F1873" s="20"/>
      <c r="G1873" s="20"/>
      <c r="H1873" s="5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4"/>
      <c r="T1873" s="4"/>
      <c r="U1873" s="4"/>
      <c r="V1873" s="4"/>
      <c r="W1873" s="4"/>
      <c r="X1873" s="4"/>
      <c r="Y1873" s="4"/>
      <c r="Z1873" s="4"/>
      <c r="AA1873" s="4"/>
      <c r="AB1873" s="4"/>
      <c r="AC1873" s="4"/>
      <c r="AD1873" s="4"/>
      <c r="AE1873" s="4"/>
      <c r="AF1873" s="4"/>
      <c r="AG1873" s="4"/>
      <c r="AH1873" s="4"/>
      <c r="AI1873" s="4"/>
      <c r="AJ1873" s="4"/>
      <c r="AK1873" s="4"/>
      <c r="AL1873" s="4"/>
      <c r="AM1873" s="4"/>
      <c r="AN1873" s="4"/>
      <c r="AO1873" s="4"/>
      <c r="AP1873" s="4"/>
      <c r="AQ1873" s="4"/>
      <c r="AR1873" s="4"/>
      <c r="AS1873" s="4"/>
      <c r="AT1873" s="4"/>
      <c r="AU1873" s="4"/>
      <c r="AV1873" s="4"/>
    </row>
    <row r="1874" spans="4:48" x14ac:dyDescent="0.3">
      <c r="D1874" s="5"/>
      <c r="E1874" s="5"/>
      <c r="F1874" s="20"/>
      <c r="G1874" s="20"/>
      <c r="H1874" s="5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4"/>
      <c r="T1874" s="4"/>
      <c r="U1874" s="4"/>
      <c r="V1874" s="4"/>
      <c r="W1874" s="4"/>
      <c r="X1874" s="4"/>
      <c r="Y1874" s="4"/>
      <c r="Z1874" s="4"/>
      <c r="AA1874" s="4"/>
      <c r="AB1874" s="4"/>
      <c r="AC1874" s="4"/>
      <c r="AD1874" s="4"/>
      <c r="AE1874" s="4"/>
      <c r="AF1874" s="4"/>
      <c r="AG1874" s="4"/>
      <c r="AH1874" s="4"/>
      <c r="AI1874" s="4"/>
      <c r="AJ1874" s="4"/>
      <c r="AK1874" s="4"/>
      <c r="AL1874" s="4"/>
      <c r="AM1874" s="4"/>
      <c r="AN1874" s="4"/>
      <c r="AO1874" s="4"/>
      <c r="AP1874" s="4"/>
      <c r="AQ1874" s="4"/>
      <c r="AR1874" s="4"/>
      <c r="AS1874" s="4"/>
      <c r="AT1874" s="4"/>
      <c r="AU1874" s="4"/>
      <c r="AV1874" s="4"/>
    </row>
    <row r="1875" spans="4:48" x14ac:dyDescent="0.3">
      <c r="D1875" s="5"/>
      <c r="E1875" s="5"/>
      <c r="F1875" s="20"/>
      <c r="G1875" s="20"/>
      <c r="H1875" s="5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4"/>
      <c r="T1875" s="4"/>
      <c r="U1875" s="4"/>
      <c r="V1875" s="4"/>
      <c r="W1875" s="4"/>
      <c r="X1875" s="4"/>
      <c r="Y1875" s="4"/>
      <c r="Z1875" s="4"/>
      <c r="AA1875" s="4"/>
      <c r="AB1875" s="4"/>
      <c r="AC1875" s="4"/>
      <c r="AD1875" s="4"/>
      <c r="AE1875" s="4"/>
      <c r="AF1875" s="4"/>
      <c r="AG1875" s="4"/>
      <c r="AH1875" s="4"/>
      <c r="AI1875" s="4"/>
      <c r="AJ1875" s="4"/>
      <c r="AK1875" s="4"/>
      <c r="AL1875" s="4"/>
      <c r="AM1875" s="4"/>
      <c r="AN1875" s="4"/>
      <c r="AO1875" s="4"/>
      <c r="AP1875" s="4"/>
      <c r="AQ1875" s="4"/>
      <c r="AR1875" s="4"/>
      <c r="AS1875" s="4"/>
      <c r="AT1875" s="4"/>
      <c r="AU1875" s="4"/>
      <c r="AV1875" s="4"/>
    </row>
    <row r="1876" spans="4:48" x14ac:dyDescent="0.3">
      <c r="D1876" s="5"/>
      <c r="E1876" s="5"/>
      <c r="F1876" s="20"/>
      <c r="G1876" s="20"/>
      <c r="H1876" s="5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4"/>
      <c r="T1876" s="4"/>
      <c r="U1876" s="4"/>
      <c r="V1876" s="4"/>
      <c r="W1876" s="4"/>
      <c r="X1876" s="4"/>
      <c r="Y1876" s="4"/>
      <c r="Z1876" s="4"/>
      <c r="AA1876" s="4"/>
      <c r="AB1876" s="4"/>
      <c r="AC1876" s="4"/>
      <c r="AD1876" s="4"/>
      <c r="AE1876" s="4"/>
      <c r="AF1876" s="4"/>
      <c r="AG1876" s="4"/>
      <c r="AH1876" s="4"/>
      <c r="AI1876" s="4"/>
      <c r="AJ1876" s="4"/>
      <c r="AK1876" s="4"/>
      <c r="AL1876" s="4"/>
      <c r="AM1876" s="4"/>
      <c r="AN1876" s="4"/>
      <c r="AO1876" s="4"/>
      <c r="AP1876" s="4"/>
      <c r="AQ1876" s="4"/>
      <c r="AR1876" s="4"/>
      <c r="AS1876" s="4"/>
      <c r="AT1876" s="4"/>
      <c r="AU1876" s="4"/>
      <c r="AV1876" s="4"/>
    </row>
    <row r="1877" spans="4:48" x14ac:dyDescent="0.3">
      <c r="D1877" s="5"/>
      <c r="E1877" s="5"/>
      <c r="F1877" s="20"/>
      <c r="G1877" s="20"/>
      <c r="H1877" s="5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4"/>
      <c r="T1877" s="4"/>
      <c r="U1877" s="4"/>
      <c r="V1877" s="4"/>
      <c r="W1877" s="4"/>
      <c r="X1877" s="4"/>
      <c r="Y1877" s="4"/>
      <c r="Z1877" s="4"/>
      <c r="AA1877" s="4"/>
      <c r="AB1877" s="4"/>
      <c r="AC1877" s="4"/>
      <c r="AD1877" s="4"/>
      <c r="AE1877" s="4"/>
      <c r="AF1877" s="4"/>
      <c r="AG1877" s="4"/>
      <c r="AH1877" s="4"/>
      <c r="AI1877" s="4"/>
      <c r="AJ1877" s="4"/>
      <c r="AK1877" s="4"/>
      <c r="AL1877" s="4"/>
      <c r="AM1877" s="4"/>
      <c r="AN1877" s="4"/>
      <c r="AO1877" s="4"/>
      <c r="AP1877" s="4"/>
      <c r="AQ1877" s="4"/>
      <c r="AR1877" s="4"/>
      <c r="AS1877" s="4"/>
      <c r="AT1877" s="4"/>
      <c r="AU1877" s="4"/>
      <c r="AV1877" s="4"/>
    </row>
    <row r="1878" spans="4:48" x14ac:dyDescent="0.3">
      <c r="D1878" s="5"/>
      <c r="E1878" s="5"/>
      <c r="F1878" s="20"/>
      <c r="G1878" s="20"/>
      <c r="H1878" s="5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4"/>
      <c r="T1878" s="4"/>
      <c r="U1878" s="4"/>
      <c r="V1878" s="4"/>
      <c r="W1878" s="4"/>
      <c r="X1878" s="4"/>
      <c r="Y1878" s="4"/>
      <c r="Z1878" s="4"/>
      <c r="AA1878" s="4"/>
      <c r="AB1878" s="4"/>
      <c r="AC1878" s="4"/>
      <c r="AD1878" s="4"/>
      <c r="AE1878" s="4"/>
      <c r="AF1878" s="4"/>
      <c r="AG1878" s="4"/>
      <c r="AH1878" s="4"/>
      <c r="AI1878" s="4"/>
      <c r="AJ1878" s="4"/>
      <c r="AK1878" s="4"/>
      <c r="AL1878" s="4"/>
      <c r="AM1878" s="4"/>
      <c r="AN1878" s="4"/>
      <c r="AO1878" s="4"/>
      <c r="AP1878" s="4"/>
      <c r="AQ1878" s="4"/>
      <c r="AR1878" s="4"/>
      <c r="AS1878" s="4"/>
      <c r="AT1878" s="4"/>
      <c r="AU1878" s="4"/>
      <c r="AV1878" s="4"/>
    </row>
    <row r="1879" spans="4:48" x14ac:dyDescent="0.3">
      <c r="D1879" s="5"/>
      <c r="E1879" s="5"/>
      <c r="F1879" s="20"/>
      <c r="G1879" s="20"/>
      <c r="H1879" s="5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4"/>
      <c r="T1879" s="4"/>
      <c r="U1879" s="4"/>
      <c r="V1879" s="4"/>
      <c r="W1879" s="4"/>
      <c r="X1879" s="4"/>
      <c r="Y1879" s="4"/>
      <c r="Z1879" s="4"/>
      <c r="AA1879" s="4"/>
      <c r="AB1879" s="4"/>
      <c r="AC1879" s="4"/>
      <c r="AD1879" s="4"/>
      <c r="AE1879" s="4"/>
      <c r="AF1879" s="4"/>
      <c r="AG1879" s="4"/>
      <c r="AH1879" s="4"/>
      <c r="AI1879" s="4"/>
      <c r="AJ1879" s="4"/>
      <c r="AK1879" s="4"/>
      <c r="AL1879" s="4"/>
      <c r="AM1879" s="4"/>
      <c r="AN1879" s="4"/>
      <c r="AO1879" s="4"/>
      <c r="AP1879" s="4"/>
      <c r="AQ1879" s="4"/>
      <c r="AR1879" s="4"/>
      <c r="AS1879" s="4"/>
      <c r="AT1879" s="4"/>
      <c r="AU1879" s="4"/>
      <c r="AV1879" s="4"/>
    </row>
    <row r="1880" spans="4:48" x14ac:dyDescent="0.3">
      <c r="D1880" s="5"/>
      <c r="E1880" s="5"/>
      <c r="F1880" s="20"/>
      <c r="G1880" s="20"/>
      <c r="H1880" s="5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4"/>
      <c r="T1880" s="4"/>
      <c r="U1880" s="4"/>
      <c r="V1880" s="4"/>
      <c r="W1880" s="4"/>
      <c r="X1880" s="4"/>
      <c r="Y1880" s="4"/>
      <c r="Z1880" s="4"/>
      <c r="AA1880" s="4"/>
      <c r="AB1880" s="4"/>
      <c r="AC1880" s="4"/>
      <c r="AD1880" s="4"/>
      <c r="AE1880" s="4"/>
      <c r="AF1880" s="4"/>
      <c r="AG1880" s="4"/>
      <c r="AH1880" s="4"/>
      <c r="AI1880" s="4"/>
      <c r="AJ1880" s="4"/>
      <c r="AK1880" s="4"/>
      <c r="AL1880" s="4"/>
      <c r="AM1880" s="4"/>
      <c r="AN1880" s="4"/>
      <c r="AO1880" s="4"/>
      <c r="AP1880" s="4"/>
      <c r="AQ1880" s="4"/>
      <c r="AR1880" s="4"/>
      <c r="AS1880" s="4"/>
      <c r="AT1880" s="4"/>
      <c r="AU1880" s="4"/>
      <c r="AV1880" s="4"/>
    </row>
    <row r="1881" spans="4:48" x14ac:dyDescent="0.3">
      <c r="D1881" s="5"/>
      <c r="E1881" s="5"/>
      <c r="F1881" s="20"/>
      <c r="G1881" s="20"/>
      <c r="H1881" s="5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4"/>
      <c r="T1881" s="4"/>
      <c r="U1881" s="4"/>
      <c r="V1881" s="4"/>
      <c r="W1881" s="4"/>
      <c r="X1881" s="4"/>
      <c r="Y1881" s="4"/>
      <c r="Z1881" s="4"/>
      <c r="AA1881" s="4"/>
      <c r="AB1881" s="4"/>
      <c r="AC1881" s="4"/>
      <c r="AD1881" s="4"/>
      <c r="AE1881" s="4"/>
      <c r="AF1881" s="4"/>
      <c r="AG1881" s="4"/>
      <c r="AH1881" s="4"/>
      <c r="AI1881" s="4"/>
      <c r="AJ1881" s="4"/>
      <c r="AK1881" s="4"/>
      <c r="AL1881" s="4"/>
      <c r="AM1881" s="4"/>
      <c r="AN1881" s="4"/>
      <c r="AO1881" s="4"/>
      <c r="AP1881" s="4"/>
      <c r="AQ1881" s="4"/>
      <c r="AR1881" s="4"/>
      <c r="AS1881" s="4"/>
      <c r="AT1881" s="4"/>
      <c r="AU1881" s="4"/>
      <c r="AV1881" s="4"/>
    </row>
    <row r="1882" spans="4:48" x14ac:dyDescent="0.3">
      <c r="D1882" s="5"/>
      <c r="E1882" s="5"/>
      <c r="F1882" s="20"/>
      <c r="G1882" s="20"/>
      <c r="H1882" s="5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4"/>
      <c r="T1882" s="4"/>
      <c r="U1882" s="4"/>
      <c r="V1882" s="4"/>
      <c r="W1882" s="4"/>
      <c r="X1882" s="4"/>
      <c r="Y1882" s="4"/>
      <c r="Z1882" s="4"/>
      <c r="AA1882" s="4"/>
      <c r="AB1882" s="4"/>
      <c r="AC1882" s="4"/>
      <c r="AD1882" s="4"/>
      <c r="AE1882" s="4"/>
      <c r="AF1882" s="4"/>
      <c r="AG1882" s="4"/>
      <c r="AH1882" s="4"/>
      <c r="AI1882" s="4"/>
      <c r="AJ1882" s="4"/>
      <c r="AK1882" s="4"/>
      <c r="AL1882" s="4"/>
      <c r="AM1882" s="4"/>
      <c r="AN1882" s="4"/>
      <c r="AO1882" s="4"/>
      <c r="AP1882" s="4"/>
      <c r="AQ1882" s="4"/>
      <c r="AR1882" s="4"/>
      <c r="AS1882" s="4"/>
      <c r="AT1882" s="4"/>
      <c r="AU1882" s="4"/>
      <c r="AV1882" s="4"/>
    </row>
    <row r="1883" spans="4:48" x14ac:dyDescent="0.3">
      <c r="D1883" s="5"/>
      <c r="E1883" s="5"/>
      <c r="F1883" s="20"/>
      <c r="G1883" s="20"/>
      <c r="H1883" s="5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4"/>
      <c r="T1883" s="4"/>
      <c r="U1883" s="4"/>
      <c r="V1883" s="4"/>
      <c r="W1883" s="4"/>
      <c r="X1883" s="4"/>
      <c r="Y1883" s="4"/>
      <c r="Z1883" s="4"/>
      <c r="AA1883" s="4"/>
      <c r="AB1883" s="4"/>
      <c r="AC1883" s="4"/>
      <c r="AD1883" s="4"/>
      <c r="AE1883" s="4"/>
      <c r="AF1883" s="4"/>
      <c r="AG1883" s="4"/>
      <c r="AH1883" s="4"/>
      <c r="AI1883" s="4"/>
      <c r="AJ1883" s="4"/>
      <c r="AK1883" s="4"/>
      <c r="AL1883" s="4"/>
      <c r="AM1883" s="4"/>
      <c r="AN1883" s="4"/>
      <c r="AO1883" s="4"/>
      <c r="AP1883" s="4"/>
      <c r="AQ1883" s="4"/>
      <c r="AR1883" s="4"/>
      <c r="AS1883" s="4"/>
      <c r="AT1883" s="4"/>
      <c r="AU1883" s="4"/>
      <c r="AV1883" s="4"/>
    </row>
    <row r="1884" spans="4:48" x14ac:dyDescent="0.3">
      <c r="D1884" s="5"/>
      <c r="E1884" s="5"/>
      <c r="F1884" s="20"/>
      <c r="G1884" s="20"/>
      <c r="H1884" s="5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4"/>
      <c r="T1884" s="4"/>
      <c r="U1884" s="4"/>
      <c r="V1884" s="4"/>
      <c r="W1884" s="4"/>
      <c r="X1884" s="4"/>
      <c r="Y1884" s="4"/>
      <c r="Z1884" s="4"/>
      <c r="AA1884" s="4"/>
      <c r="AB1884" s="4"/>
      <c r="AC1884" s="4"/>
      <c r="AD1884" s="4"/>
      <c r="AE1884" s="4"/>
      <c r="AF1884" s="4"/>
      <c r="AG1884" s="4"/>
      <c r="AH1884" s="4"/>
      <c r="AI1884" s="4"/>
      <c r="AJ1884" s="4"/>
      <c r="AK1884" s="4"/>
      <c r="AL1884" s="4"/>
      <c r="AM1884" s="4"/>
      <c r="AN1884" s="4"/>
      <c r="AO1884" s="4"/>
      <c r="AP1884" s="4"/>
      <c r="AQ1884" s="4"/>
      <c r="AR1884" s="4"/>
      <c r="AS1884" s="4"/>
      <c r="AT1884" s="4"/>
      <c r="AU1884" s="4"/>
      <c r="AV1884" s="4"/>
    </row>
    <row r="1885" spans="4:48" x14ac:dyDescent="0.3">
      <c r="D1885" s="5"/>
      <c r="E1885" s="5"/>
      <c r="F1885" s="20"/>
      <c r="G1885" s="20"/>
      <c r="H1885" s="5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4"/>
      <c r="T1885" s="4"/>
      <c r="U1885" s="4"/>
      <c r="V1885" s="4"/>
      <c r="W1885" s="4"/>
      <c r="X1885" s="4"/>
      <c r="Y1885" s="4"/>
      <c r="Z1885" s="4"/>
      <c r="AA1885" s="4"/>
      <c r="AB1885" s="4"/>
      <c r="AC1885" s="4"/>
      <c r="AD1885" s="4"/>
      <c r="AE1885" s="4"/>
      <c r="AF1885" s="4"/>
      <c r="AG1885" s="4"/>
      <c r="AH1885" s="4"/>
      <c r="AI1885" s="4"/>
      <c r="AJ1885" s="4"/>
      <c r="AK1885" s="4"/>
      <c r="AL1885" s="4"/>
      <c r="AM1885" s="4"/>
      <c r="AN1885" s="4"/>
      <c r="AO1885" s="4"/>
      <c r="AP1885" s="4"/>
      <c r="AQ1885" s="4"/>
      <c r="AR1885" s="4"/>
      <c r="AS1885" s="4"/>
      <c r="AT1885" s="4"/>
      <c r="AU1885" s="4"/>
      <c r="AV1885" s="4"/>
    </row>
    <row r="1886" spans="4:48" x14ac:dyDescent="0.3">
      <c r="D1886" s="5"/>
      <c r="E1886" s="5"/>
      <c r="F1886" s="20"/>
      <c r="G1886" s="20"/>
      <c r="H1886" s="5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4"/>
      <c r="T1886" s="4"/>
      <c r="U1886" s="4"/>
      <c r="V1886" s="4"/>
      <c r="W1886" s="4"/>
      <c r="X1886" s="4"/>
      <c r="Y1886" s="4"/>
      <c r="Z1886" s="4"/>
      <c r="AA1886" s="4"/>
      <c r="AB1886" s="4"/>
      <c r="AC1886" s="4"/>
      <c r="AD1886" s="4"/>
      <c r="AE1886" s="4"/>
      <c r="AF1886" s="4"/>
      <c r="AG1886" s="4"/>
      <c r="AH1886" s="4"/>
      <c r="AI1886" s="4"/>
      <c r="AJ1886" s="4"/>
      <c r="AK1886" s="4"/>
      <c r="AL1886" s="4"/>
      <c r="AM1886" s="4"/>
      <c r="AN1886" s="4"/>
      <c r="AO1886" s="4"/>
      <c r="AP1886" s="4"/>
      <c r="AQ1886" s="4"/>
      <c r="AR1886" s="4"/>
      <c r="AS1886" s="4"/>
      <c r="AT1886" s="4"/>
      <c r="AU1886" s="4"/>
      <c r="AV1886" s="4"/>
    </row>
    <row r="1887" spans="4:48" x14ac:dyDescent="0.3">
      <c r="D1887" s="5"/>
      <c r="E1887" s="5"/>
      <c r="F1887" s="20"/>
      <c r="G1887" s="20"/>
      <c r="H1887" s="5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4"/>
      <c r="T1887" s="4"/>
      <c r="U1887" s="4"/>
      <c r="V1887" s="4"/>
      <c r="W1887" s="4"/>
      <c r="X1887" s="4"/>
      <c r="Y1887" s="4"/>
      <c r="Z1887" s="4"/>
      <c r="AA1887" s="4"/>
      <c r="AB1887" s="4"/>
      <c r="AC1887" s="4"/>
      <c r="AD1887" s="4"/>
      <c r="AE1887" s="4"/>
      <c r="AF1887" s="4"/>
      <c r="AG1887" s="4"/>
      <c r="AH1887" s="4"/>
      <c r="AI1887" s="4"/>
      <c r="AJ1887" s="4"/>
      <c r="AK1887" s="4"/>
      <c r="AL1887" s="4"/>
      <c r="AM1887" s="4"/>
      <c r="AN1887" s="4"/>
      <c r="AO1887" s="4"/>
      <c r="AP1887" s="4"/>
      <c r="AQ1887" s="4"/>
      <c r="AR1887" s="4"/>
      <c r="AS1887" s="4"/>
      <c r="AT1887" s="4"/>
      <c r="AU1887" s="4"/>
      <c r="AV1887" s="4"/>
    </row>
    <row r="1888" spans="4:48" x14ac:dyDescent="0.3">
      <c r="D1888" s="5"/>
      <c r="E1888" s="5"/>
      <c r="F1888" s="20"/>
      <c r="G1888" s="20"/>
      <c r="H1888" s="5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4"/>
      <c r="T1888" s="4"/>
      <c r="U1888" s="4"/>
      <c r="V1888" s="4"/>
      <c r="W1888" s="4"/>
      <c r="X1888" s="4"/>
      <c r="Y1888" s="4"/>
      <c r="Z1888" s="4"/>
      <c r="AA1888" s="4"/>
      <c r="AB1888" s="4"/>
      <c r="AC1888" s="4"/>
      <c r="AD1888" s="4"/>
      <c r="AE1888" s="4"/>
      <c r="AF1888" s="4"/>
      <c r="AG1888" s="4"/>
      <c r="AH1888" s="4"/>
      <c r="AI1888" s="4"/>
      <c r="AJ1888" s="4"/>
      <c r="AK1888" s="4"/>
      <c r="AL1888" s="4"/>
      <c r="AM1888" s="4"/>
      <c r="AN1888" s="4"/>
      <c r="AO1888" s="4"/>
      <c r="AP1888" s="4"/>
      <c r="AQ1888" s="4"/>
      <c r="AR1888" s="4"/>
      <c r="AS1888" s="4"/>
      <c r="AT1888" s="4"/>
      <c r="AU1888" s="4"/>
      <c r="AV1888" s="4"/>
    </row>
    <row r="1889" spans="4:48" x14ac:dyDescent="0.3">
      <c r="D1889" s="5"/>
      <c r="E1889" s="5"/>
      <c r="F1889" s="20"/>
      <c r="G1889" s="20"/>
      <c r="H1889" s="5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4"/>
      <c r="T1889" s="4"/>
      <c r="U1889" s="4"/>
      <c r="V1889" s="4"/>
      <c r="W1889" s="4"/>
      <c r="X1889" s="4"/>
      <c r="Y1889" s="4"/>
      <c r="Z1889" s="4"/>
      <c r="AA1889" s="4"/>
      <c r="AB1889" s="4"/>
      <c r="AC1889" s="4"/>
      <c r="AD1889" s="4"/>
      <c r="AE1889" s="4"/>
      <c r="AF1889" s="4"/>
      <c r="AG1889" s="4"/>
      <c r="AH1889" s="4"/>
      <c r="AI1889" s="4"/>
      <c r="AJ1889" s="4"/>
      <c r="AK1889" s="4"/>
      <c r="AL1889" s="4"/>
      <c r="AM1889" s="4"/>
      <c r="AN1889" s="4"/>
      <c r="AO1889" s="4"/>
      <c r="AP1889" s="4"/>
      <c r="AQ1889" s="4"/>
      <c r="AR1889" s="4"/>
      <c r="AS1889" s="4"/>
      <c r="AT1889" s="4"/>
      <c r="AU1889" s="4"/>
      <c r="AV1889" s="4"/>
    </row>
    <row r="1890" spans="4:48" x14ac:dyDescent="0.3">
      <c r="D1890" s="5"/>
      <c r="E1890" s="5"/>
      <c r="F1890" s="20"/>
      <c r="G1890" s="20"/>
      <c r="H1890" s="5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4"/>
      <c r="T1890" s="4"/>
      <c r="U1890" s="4"/>
      <c r="V1890" s="4"/>
      <c r="W1890" s="4"/>
      <c r="X1890" s="4"/>
      <c r="Y1890" s="4"/>
      <c r="Z1890" s="4"/>
      <c r="AA1890" s="4"/>
      <c r="AB1890" s="4"/>
      <c r="AC1890" s="4"/>
      <c r="AD1890" s="4"/>
      <c r="AE1890" s="4"/>
      <c r="AF1890" s="4"/>
      <c r="AG1890" s="4"/>
      <c r="AH1890" s="4"/>
      <c r="AI1890" s="4"/>
      <c r="AJ1890" s="4"/>
      <c r="AK1890" s="4"/>
      <c r="AL1890" s="4"/>
      <c r="AM1890" s="4"/>
      <c r="AN1890" s="4"/>
      <c r="AO1890" s="4"/>
      <c r="AP1890" s="4"/>
      <c r="AQ1890" s="4"/>
      <c r="AR1890" s="4"/>
      <c r="AS1890" s="4"/>
      <c r="AT1890" s="4"/>
      <c r="AU1890" s="4"/>
      <c r="AV1890" s="4"/>
    </row>
    <row r="1891" spans="4:48" x14ac:dyDescent="0.3">
      <c r="D1891" s="5"/>
      <c r="E1891" s="5"/>
      <c r="F1891" s="20"/>
      <c r="G1891" s="20"/>
      <c r="H1891" s="5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4"/>
      <c r="T1891" s="4"/>
      <c r="U1891" s="4"/>
      <c r="V1891" s="4"/>
      <c r="W1891" s="4"/>
      <c r="X1891" s="4"/>
      <c r="Y1891" s="4"/>
      <c r="Z1891" s="4"/>
      <c r="AA1891" s="4"/>
      <c r="AB1891" s="4"/>
      <c r="AC1891" s="4"/>
      <c r="AD1891" s="4"/>
      <c r="AE1891" s="4"/>
      <c r="AF1891" s="4"/>
      <c r="AG1891" s="4"/>
      <c r="AH1891" s="4"/>
      <c r="AI1891" s="4"/>
      <c r="AJ1891" s="4"/>
      <c r="AK1891" s="4"/>
      <c r="AL1891" s="4"/>
      <c r="AM1891" s="4"/>
      <c r="AN1891" s="4"/>
      <c r="AO1891" s="4"/>
      <c r="AP1891" s="4"/>
      <c r="AQ1891" s="4"/>
      <c r="AR1891" s="4"/>
      <c r="AS1891" s="4"/>
      <c r="AT1891" s="4"/>
      <c r="AU1891" s="4"/>
      <c r="AV1891" s="4"/>
    </row>
    <row r="1892" spans="4:48" x14ac:dyDescent="0.3">
      <c r="D1892" s="5"/>
      <c r="E1892" s="5"/>
      <c r="F1892" s="20"/>
      <c r="G1892" s="20"/>
      <c r="H1892" s="5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4"/>
      <c r="T1892" s="4"/>
      <c r="U1892" s="4"/>
      <c r="V1892" s="4"/>
      <c r="W1892" s="4"/>
      <c r="X1892" s="4"/>
      <c r="Y1892" s="4"/>
      <c r="Z1892" s="4"/>
      <c r="AA1892" s="4"/>
      <c r="AB1892" s="4"/>
      <c r="AC1892" s="4"/>
      <c r="AD1892" s="4"/>
      <c r="AE1892" s="4"/>
      <c r="AF1892" s="4"/>
      <c r="AG1892" s="4"/>
      <c r="AH1892" s="4"/>
      <c r="AI1892" s="4"/>
      <c r="AJ1892" s="4"/>
      <c r="AK1892" s="4"/>
      <c r="AL1892" s="4"/>
      <c r="AM1892" s="4"/>
      <c r="AN1892" s="4"/>
      <c r="AO1892" s="4"/>
      <c r="AP1892" s="4"/>
      <c r="AQ1892" s="4"/>
      <c r="AR1892" s="4"/>
      <c r="AS1892" s="4"/>
      <c r="AT1892" s="4"/>
      <c r="AU1892" s="4"/>
      <c r="AV1892" s="4"/>
    </row>
    <row r="1893" spans="4:48" x14ac:dyDescent="0.3">
      <c r="D1893" s="5"/>
      <c r="E1893" s="5"/>
      <c r="F1893" s="20"/>
      <c r="G1893" s="20"/>
      <c r="H1893" s="5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4"/>
      <c r="T1893" s="4"/>
      <c r="U1893" s="4"/>
      <c r="V1893" s="4"/>
      <c r="W1893" s="4"/>
      <c r="X1893" s="4"/>
      <c r="Y1893" s="4"/>
      <c r="Z1893" s="4"/>
      <c r="AA1893" s="4"/>
      <c r="AB1893" s="4"/>
      <c r="AC1893" s="4"/>
      <c r="AD1893" s="4"/>
      <c r="AE1893" s="4"/>
      <c r="AF1893" s="4"/>
      <c r="AG1893" s="4"/>
      <c r="AH1893" s="4"/>
      <c r="AI1893" s="4"/>
      <c r="AJ1893" s="4"/>
      <c r="AK1893" s="4"/>
      <c r="AL1893" s="4"/>
      <c r="AM1893" s="4"/>
      <c r="AN1893" s="4"/>
      <c r="AO1893" s="4"/>
      <c r="AP1893" s="4"/>
      <c r="AQ1893" s="4"/>
      <c r="AR1893" s="4"/>
      <c r="AS1893" s="4"/>
      <c r="AT1893" s="4"/>
      <c r="AU1893" s="4"/>
      <c r="AV1893" s="4"/>
    </row>
    <row r="1894" spans="4:48" x14ac:dyDescent="0.3">
      <c r="D1894" s="5"/>
      <c r="E1894" s="5"/>
      <c r="F1894" s="20"/>
      <c r="G1894" s="20"/>
      <c r="H1894" s="5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4"/>
      <c r="T1894" s="4"/>
      <c r="U1894" s="4"/>
      <c r="V1894" s="4"/>
      <c r="W1894" s="4"/>
      <c r="X1894" s="4"/>
      <c r="Y1894" s="4"/>
      <c r="Z1894" s="4"/>
      <c r="AA1894" s="4"/>
      <c r="AB1894" s="4"/>
      <c r="AC1894" s="4"/>
      <c r="AD1894" s="4"/>
      <c r="AE1894" s="4"/>
      <c r="AF1894" s="4"/>
      <c r="AG1894" s="4"/>
      <c r="AH1894" s="4"/>
      <c r="AI1894" s="4"/>
      <c r="AJ1894" s="4"/>
      <c r="AK1894" s="4"/>
      <c r="AL1894" s="4"/>
      <c r="AM1894" s="4"/>
      <c r="AN1894" s="4"/>
      <c r="AO1894" s="4"/>
      <c r="AP1894" s="4"/>
      <c r="AQ1894" s="4"/>
      <c r="AR1894" s="4"/>
      <c r="AS1894" s="4"/>
      <c r="AT1894" s="4"/>
      <c r="AU1894" s="4"/>
      <c r="AV1894" s="4"/>
    </row>
    <row r="1895" spans="4:48" x14ac:dyDescent="0.3">
      <c r="D1895" s="5"/>
      <c r="E1895" s="5"/>
      <c r="F1895" s="20"/>
      <c r="G1895" s="20"/>
      <c r="H1895" s="5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4"/>
      <c r="T1895" s="4"/>
      <c r="U1895" s="4"/>
      <c r="V1895" s="4"/>
      <c r="W1895" s="4"/>
      <c r="X1895" s="4"/>
      <c r="Y1895" s="4"/>
      <c r="Z1895" s="4"/>
      <c r="AA1895" s="4"/>
      <c r="AB1895" s="4"/>
      <c r="AC1895" s="4"/>
      <c r="AD1895" s="4"/>
      <c r="AE1895" s="4"/>
      <c r="AF1895" s="4"/>
      <c r="AG1895" s="4"/>
      <c r="AH1895" s="4"/>
      <c r="AI1895" s="4"/>
      <c r="AJ1895" s="4"/>
      <c r="AK1895" s="4"/>
      <c r="AL1895" s="4"/>
      <c r="AM1895" s="4"/>
      <c r="AN1895" s="4"/>
      <c r="AO1895" s="4"/>
      <c r="AP1895" s="4"/>
      <c r="AQ1895" s="4"/>
      <c r="AR1895" s="4"/>
      <c r="AS1895" s="4"/>
      <c r="AT1895" s="4"/>
      <c r="AU1895" s="4"/>
      <c r="AV1895" s="4"/>
    </row>
    <row r="1896" spans="4:48" x14ac:dyDescent="0.3">
      <c r="D1896" s="5"/>
      <c r="E1896" s="5"/>
      <c r="F1896" s="20"/>
      <c r="G1896" s="20"/>
      <c r="H1896" s="5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4"/>
      <c r="T1896" s="4"/>
      <c r="U1896" s="4"/>
      <c r="V1896" s="4"/>
      <c r="W1896" s="4"/>
      <c r="X1896" s="4"/>
      <c r="Y1896" s="4"/>
      <c r="Z1896" s="4"/>
      <c r="AA1896" s="4"/>
      <c r="AB1896" s="4"/>
      <c r="AC1896" s="4"/>
      <c r="AD1896" s="4"/>
      <c r="AE1896" s="4"/>
      <c r="AF1896" s="4"/>
      <c r="AG1896" s="4"/>
      <c r="AH1896" s="4"/>
      <c r="AI1896" s="4"/>
      <c r="AJ1896" s="4"/>
      <c r="AK1896" s="4"/>
      <c r="AL1896" s="4"/>
      <c r="AM1896" s="4"/>
      <c r="AN1896" s="4"/>
      <c r="AO1896" s="4"/>
      <c r="AP1896" s="4"/>
      <c r="AQ1896" s="4"/>
      <c r="AR1896" s="4"/>
      <c r="AS1896" s="4"/>
      <c r="AT1896" s="4"/>
      <c r="AU1896" s="4"/>
      <c r="AV1896" s="4"/>
    </row>
    <row r="1897" spans="4:48" x14ac:dyDescent="0.3">
      <c r="D1897" s="5"/>
      <c r="E1897" s="5"/>
      <c r="F1897" s="20"/>
      <c r="G1897" s="20"/>
      <c r="H1897" s="5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4"/>
      <c r="T1897" s="4"/>
      <c r="U1897" s="4"/>
      <c r="V1897" s="4"/>
      <c r="W1897" s="4"/>
      <c r="X1897" s="4"/>
      <c r="Y1897" s="4"/>
      <c r="Z1897" s="4"/>
      <c r="AA1897" s="4"/>
      <c r="AB1897" s="4"/>
      <c r="AC1897" s="4"/>
      <c r="AD1897" s="4"/>
      <c r="AE1897" s="4"/>
      <c r="AF1897" s="4"/>
      <c r="AG1897" s="4"/>
      <c r="AH1897" s="4"/>
      <c r="AI1897" s="4"/>
      <c r="AJ1897" s="4"/>
      <c r="AK1897" s="4"/>
      <c r="AL1897" s="4"/>
      <c r="AM1897" s="4"/>
      <c r="AN1897" s="4"/>
      <c r="AO1897" s="4"/>
      <c r="AP1897" s="4"/>
      <c r="AQ1897" s="4"/>
      <c r="AR1897" s="4"/>
      <c r="AS1897" s="4"/>
      <c r="AT1897" s="4"/>
      <c r="AU1897" s="4"/>
      <c r="AV1897" s="4"/>
    </row>
    <row r="1898" spans="4:48" x14ac:dyDescent="0.3">
      <c r="D1898" s="5"/>
      <c r="E1898" s="5"/>
      <c r="F1898" s="20"/>
      <c r="G1898" s="20"/>
      <c r="H1898" s="5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4"/>
      <c r="T1898" s="4"/>
      <c r="U1898" s="4"/>
      <c r="V1898" s="4"/>
      <c r="W1898" s="4"/>
      <c r="X1898" s="4"/>
      <c r="Y1898" s="4"/>
      <c r="Z1898" s="4"/>
      <c r="AA1898" s="4"/>
      <c r="AB1898" s="4"/>
      <c r="AC1898" s="4"/>
      <c r="AD1898" s="4"/>
      <c r="AE1898" s="4"/>
      <c r="AF1898" s="4"/>
      <c r="AG1898" s="4"/>
      <c r="AH1898" s="4"/>
      <c r="AI1898" s="4"/>
      <c r="AJ1898" s="4"/>
      <c r="AK1898" s="4"/>
      <c r="AL1898" s="4"/>
      <c r="AM1898" s="4"/>
      <c r="AN1898" s="4"/>
      <c r="AO1898" s="4"/>
      <c r="AP1898" s="4"/>
      <c r="AQ1898" s="4"/>
      <c r="AR1898" s="4"/>
      <c r="AS1898" s="4"/>
      <c r="AT1898" s="4"/>
      <c r="AU1898" s="4"/>
      <c r="AV1898" s="4"/>
    </row>
    <row r="1899" spans="4:48" x14ac:dyDescent="0.3">
      <c r="D1899" s="5"/>
      <c r="E1899" s="5"/>
      <c r="F1899" s="20"/>
      <c r="G1899" s="20"/>
      <c r="H1899" s="5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4"/>
      <c r="T1899" s="4"/>
      <c r="U1899" s="4"/>
      <c r="V1899" s="4"/>
      <c r="W1899" s="4"/>
      <c r="X1899" s="4"/>
      <c r="Y1899" s="4"/>
      <c r="Z1899" s="4"/>
      <c r="AA1899" s="4"/>
      <c r="AB1899" s="4"/>
      <c r="AC1899" s="4"/>
      <c r="AD1899" s="4"/>
      <c r="AE1899" s="4"/>
      <c r="AF1899" s="4"/>
      <c r="AG1899" s="4"/>
      <c r="AH1899" s="4"/>
      <c r="AI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</row>
    <row r="1900" spans="4:48" x14ac:dyDescent="0.3">
      <c r="D1900" s="5"/>
      <c r="E1900" s="5"/>
      <c r="F1900" s="20"/>
      <c r="G1900" s="20"/>
      <c r="H1900" s="5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4"/>
      <c r="T1900" s="4"/>
      <c r="U1900" s="4"/>
      <c r="V1900" s="4"/>
      <c r="W1900" s="4"/>
      <c r="X1900" s="4"/>
      <c r="Y1900" s="4"/>
      <c r="Z1900" s="4"/>
      <c r="AA1900" s="4"/>
      <c r="AB1900" s="4"/>
      <c r="AC1900" s="4"/>
      <c r="AD1900" s="4"/>
      <c r="AE1900" s="4"/>
      <c r="AF1900" s="4"/>
      <c r="AG1900" s="4"/>
      <c r="AH1900" s="4"/>
      <c r="AI1900" s="4"/>
      <c r="AJ1900" s="4"/>
      <c r="AK1900" s="4"/>
      <c r="AL1900" s="4"/>
      <c r="AM1900" s="4"/>
      <c r="AN1900" s="4"/>
      <c r="AO1900" s="4"/>
      <c r="AP1900" s="4"/>
      <c r="AQ1900" s="4"/>
      <c r="AR1900" s="4"/>
      <c r="AS1900" s="4"/>
      <c r="AT1900" s="4"/>
      <c r="AU1900" s="4"/>
      <c r="AV1900" s="4"/>
    </row>
    <row r="1901" spans="4:48" x14ac:dyDescent="0.3">
      <c r="D1901" s="5"/>
      <c r="E1901" s="5"/>
      <c r="F1901" s="20"/>
      <c r="G1901" s="20"/>
      <c r="H1901" s="5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4"/>
      <c r="T1901" s="4"/>
      <c r="U1901" s="4"/>
      <c r="V1901" s="4"/>
      <c r="W1901" s="4"/>
      <c r="X1901" s="4"/>
      <c r="Y1901" s="4"/>
      <c r="Z1901" s="4"/>
      <c r="AA1901" s="4"/>
      <c r="AB1901" s="4"/>
      <c r="AC1901" s="4"/>
      <c r="AD1901" s="4"/>
      <c r="AE1901" s="4"/>
      <c r="AF1901" s="4"/>
      <c r="AG1901" s="4"/>
      <c r="AH1901" s="4"/>
      <c r="AI1901" s="4"/>
      <c r="AJ1901" s="4"/>
      <c r="AK1901" s="4"/>
      <c r="AL1901" s="4"/>
      <c r="AM1901" s="4"/>
      <c r="AN1901" s="4"/>
      <c r="AO1901" s="4"/>
      <c r="AP1901" s="4"/>
      <c r="AQ1901" s="4"/>
      <c r="AR1901" s="4"/>
      <c r="AS1901" s="4"/>
      <c r="AT1901" s="4"/>
      <c r="AU1901" s="4"/>
      <c r="AV1901" s="4"/>
    </row>
    <row r="1902" spans="4:48" x14ac:dyDescent="0.3">
      <c r="D1902" s="5"/>
      <c r="E1902" s="5"/>
      <c r="F1902" s="20"/>
      <c r="G1902" s="20"/>
      <c r="H1902" s="5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4"/>
      <c r="T1902" s="4"/>
      <c r="U1902" s="4"/>
      <c r="V1902" s="4"/>
      <c r="W1902" s="4"/>
      <c r="X1902" s="4"/>
      <c r="Y1902" s="4"/>
      <c r="Z1902" s="4"/>
      <c r="AA1902" s="4"/>
      <c r="AB1902" s="4"/>
      <c r="AC1902" s="4"/>
      <c r="AD1902" s="4"/>
      <c r="AE1902" s="4"/>
      <c r="AF1902" s="4"/>
      <c r="AG1902" s="4"/>
      <c r="AH1902" s="4"/>
      <c r="AI1902" s="4"/>
      <c r="AJ1902" s="4"/>
      <c r="AK1902" s="4"/>
      <c r="AL1902" s="4"/>
      <c r="AM1902" s="4"/>
      <c r="AN1902" s="4"/>
      <c r="AO1902" s="4"/>
      <c r="AP1902" s="4"/>
      <c r="AQ1902" s="4"/>
      <c r="AR1902" s="4"/>
      <c r="AS1902" s="4"/>
      <c r="AT1902" s="4"/>
      <c r="AU1902" s="4"/>
      <c r="AV1902" s="4"/>
    </row>
    <row r="1903" spans="4:48" x14ac:dyDescent="0.3">
      <c r="D1903" s="5"/>
      <c r="E1903" s="5"/>
      <c r="F1903" s="20"/>
      <c r="G1903" s="20"/>
      <c r="H1903" s="5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4"/>
      <c r="T1903" s="4"/>
      <c r="U1903" s="4"/>
      <c r="V1903" s="4"/>
      <c r="W1903" s="4"/>
      <c r="X1903" s="4"/>
      <c r="Y1903" s="4"/>
      <c r="Z1903" s="4"/>
      <c r="AA1903" s="4"/>
      <c r="AB1903" s="4"/>
      <c r="AC1903" s="4"/>
      <c r="AD1903" s="4"/>
      <c r="AE1903" s="4"/>
      <c r="AF1903" s="4"/>
      <c r="AG1903" s="4"/>
      <c r="AH1903" s="4"/>
      <c r="AI1903" s="4"/>
      <c r="AJ1903" s="4"/>
      <c r="AK1903" s="4"/>
      <c r="AL1903" s="4"/>
      <c r="AM1903" s="4"/>
      <c r="AN1903" s="4"/>
      <c r="AO1903" s="4"/>
      <c r="AP1903" s="4"/>
      <c r="AQ1903" s="4"/>
      <c r="AR1903" s="4"/>
      <c r="AS1903" s="4"/>
      <c r="AT1903" s="4"/>
      <c r="AU1903" s="4"/>
      <c r="AV1903" s="4"/>
    </row>
    <row r="1904" spans="4:48" x14ac:dyDescent="0.3">
      <c r="D1904" s="5"/>
      <c r="E1904" s="5"/>
      <c r="F1904" s="20"/>
      <c r="G1904" s="20"/>
      <c r="H1904" s="5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4"/>
      <c r="T1904" s="4"/>
      <c r="U1904" s="4"/>
      <c r="V1904" s="4"/>
      <c r="W1904" s="4"/>
      <c r="X1904" s="4"/>
      <c r="Y1904" s="4"/>
      <c r="Z1904" s="4"/>
      <c r="AA1904" s="4"/>
      <c r="AB1904" s="4"/>
      <c r="AC1904" s="4"/>
      <c r="AD1904" s="4"/>
      <c r="AE1904" s="4"/>
      <c r="AF1904" s="4"/>
      <c r="AG1904" s="4"/>
      <c r="AH1904" s="4"/>
      <c r="AI1904" s="4"/>
      <c r="AJ1904" s="4"/>
      <c r="AK1904" s="4"/>
      <c r="AL1904" s="4"/>
      <c r="AM1904" s="4"/>
      <c r="AN1904" s="4"/>
      <c r="AO1904" s="4"/>
      <c r="AP1904" s="4"/>
      <c r="AQ1904" s="4"/>
      <c r="AR1904" s="4"/>
      <c r="AS1904" s="4"/>
      <c r="AT1904" s="4"/>
      <c r="AU1904" s="4"/>
      <c r="AV1904" s="4"/>
    </row>
    <row r="1905" spans="4:48" x14ac:dyDescent="0.3">
      <c r="D1905" s="5"/>
      <c r="E1905" s="5"/>
      <c r="F1905" s="20"/>
      <c r="G1905" s="20"/>
      <c r="H1905" s="5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4"/>
      <c r="T1905" s="4"/>
      <c r="U1905" s="4"/>
      <c r="V1905" s="4"/>
      <c r="W1905" s="4"/>
      <c r="X1905" s="4"/>
      <c r="Y1905" s="4"/>
      <c r="Z1905" s="4"/>
      <c r="AA1905" s="4"/>
      <c r="AB1905" s="4"/>
      <c r="AC1905" s="4"/>
      <c r="AD1905" s="4"/>
      <c r="AE1905" s="4"/>
      <c r="AF1905" s="4"/>
      <c r="AG1905" s="4"/>
      <c r="AH1905" s="4"/>
      <c r="AI1905" s="4"/>
      <c r="AJ1905" s="4"/>
      <c r="AK1905" s="4"/>
      <c r="AL1905" s="4"/>
      <c r="AM1905" s="4"/>
      <c r="AN1905" s="4"/>
      <c r="AO1905" s="4"/>
      <c r="AP1905" s="4"/>
      <c r="AQ1905" s="4"/>
      <c r="AR1905" s="4"/>
      <c r="AS1905" s="4"/>
      <c r="AT1905" s="4"/>
      <c r="AU1905" s="4"/>
      <c r="AV1905" s="4"/>
    </row>
    <row r="1906" spans="4:48" x14ac:dyDescent="0.3">
      <c r="D1906" s="5"/>
      <c r="E1906" s="5"/>
      <c r="F1906" s="20"/>
      <c r="G1906" s="20"/>
      <c r="H1906" s="5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4"/>
      <c r="T1906" s="4"/>
      <c r="U1906" s="4"/>
      <c r="V1906" s="4"/>
      <c r="W1906" s="4"/>
      <c r="X1906" s="4"/>
      <c r="Y1906" s="4"/>
      <c r="Z1906" s="4"/>
      <c r="AA1906" s="4"/>
      <c r="AB1906" s="4"/>
      <c r="AC1906" s="4"/>
      <c r="AD1906" s="4"/>
      <c r="AE1906" s="4"/>
      <c r="AF1906" s="4"/>
      <c r="AG1906" s="4"/>
      <c r="AH1906" s="4"/>
      <c r="AI1906" s="4"/>
      <c r="AJ1906" s="4"/>
      <c r="AK1906" s="4"/>
      <c r="AL1906" s="4"/>
      <c r="AM1906" s="4"/>
      <c r="AN1906" s="4"/>
      <c r="AO1906" s="4"/>
      <c r="AP1906" s="4"/>
      <c r="AQ1906" s="4"/>
      <c r="AR1906" s="4"/>
      <c r="AS1906" s="4"/>
      <c r="AT1906" s="4"/>
      <c r="AU1906" s="4"/>
      <c r="AV1906" s="4"/>
    </row>
    <row r="1907" spans="4:48" x14ac:dyDescent="0.3">
      <c r="D1907" s="5"/>
      <c r="E1907" s="5"/>
      <c r="F1907" s="20"/>
      <c r="G1907" s="20"/>
      <c r="H1907" s="5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4"/>
      <c r="T1907" s="4"/>
      <c r="U1907" s="4"/>
      <c r="V1907" s="4"/>
      <c r="W1907" s="4"/>
      <c r="X1907" s="4"/>
      <c r="Y1907" s="4"/>
      <c r="Z1907" s="4"/>
      <c r="AA1907" s="4"/>
      <c r="AB1907" s="4"/>
      <c r="AC1907" s="4"/>
      <c r="AD1907" s="4"/>
      <c r="AE1907" s="4"/>
      <c r="AF1907" s="4"/>
      <c r="AG1907" s="4"/>
      <c r="AH1907" s="4"/>
      <c r="AI1907" s="4"/>
      <c r="AJ1907" s="4"/>
      <c r="AK1907" s="4"/>
      <c r="AL1907" s="4"/>
      <c r="AM1907" s="4"/>
      <c r="AN1907" s="4"/>
      <c r="AO1907" s="4"/>
      <c r="AP1907" s="4"/>
      <c r="AQ1907" s="4"/>
      <c r="AR1907" s="4"/>
      <c r="AS1907" s="4"/>
      <c r="AT1907" s="4"/>
      <c r="AU1907" s="4"/>
      <c r="AV1907" s="4"/>
    </row>
    <row r="1908" spans="4:48" x14ac:dyDescent="0.3">
      <c r="D1908" s="5"/>
      <c r="E1908" s="5"/>
      <c r="F1908" s="20"/>
      <c r="G1908" s="20"/>
      <c r="H1908" s="5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4"/>
      <c r="T1908" s="4"/>
      <c r="U1908" s="4"/>
      <c r="V1908" s="4"/>
      <c r="W1908" s="4"/>
      <c r="X1908" s="4"/>
      <c r="Y1908" s="4"/>
      <c r="Z1908" s="4"/>
      <c r="AA1908" s="4"/>
      <c r="AB1908" s="4"/>
      <c r="AC1908" s="4"/>
      <c r="AD1908" s="4"/>
      <c r="AE1908" s="4"/>
      <c r="AF1908" s="4"/>
      <c r="AG1908" s="4"/>
      <c r="AH1908" s="4"/>
      <c r="AI1908" s="4"/>
      <c r="AJ1908" s="4"/>
      <c r="AK1908" s="4"/>
      <c r="AL1908" s="4"/>
      <c r="AM1908" s="4"/>
      <c r="AN1908" s="4"/>
      <c r="AO1908" s="4"/>
      <c r="AP1908" s="4"/>
      <c r="AQ1908" s="4"/>
      <c r="AR1908" s="4"/>
      <c r="AS1908" s="4"/>
      <c r="AT1908" s="4"/>
      <c r="AU1908" s="4"/>
      <c r="AV1908" s="4"/>
    </row>
    <row r="1909" spans="4:48" x14ac:dyDescent="0.3">
      <c r="D1909" s="5"/>
      <c r="E1909" s="5"/>
      <c r="F1909" s="20"/>
      <c r="G1909" s="20"/>
      <c r="H1909" s="5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4"/>
      <c r="T1909" s="4"/>
      <c r="U1909" s="4"/>
      <c r="V1909" s="4"/>
      <c r="W1909" s="4"/>
      <c r="X1909" s="4"/>
      <c r="Y1909" s="4"/>
      <c r="Z1909" s="4"/>
      <c r="AA1909" s="4"/>
      <c r="AB1909" s="4"/>
      <c r="AC1909" s="4"/>
      <c r="AD1909" s="4"/>
      <c r="AE1909" s="4"/>
      <c r="AF1909" s="4"/>
      <c r="AG1909" s="4"/>
      <c r="AH1909" s="4"/>
      <c r="AI1909" s="4"/>
      <c r="AJ1909" s="4"/>
      <c r="AK1909" s="4"/>
      <c r="AL1909" s="4"/>
      <c r="AM1909" s="4"/>
      <c r="AN1909" s="4"/>
      <c r="AO1909" s="4"/>
      <c r="AP1909" s="4"/>
      <c r="AQ1909" s="4"/>
      <c r="AR1909" s="4"/>
      <c r="AS1909" s="4"/>
      <c r="AT1909" s="4"/>
      <c r="AU1909" s="4"/>
      <c r="AV1909" s="4"/>
    </row>
    <row r="1910" spans="4:48" x14ac:dyDescent="0.3">
      <c r="D1910" s="5"/>
      <c r="E1910" s="5"/>
      <c r="F1910" s="20"/>
      <c r="G1910" s="20"/>
      <c r="H1910" s="5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4"/>
      <c r="T1910" s="4"/>
      <c r="U1910" s="4"/>
      <c r="V1910" s="4"/>
      <c r="W1910" s="4"/>
      <c r="X1910" s="4"/>
      <c r="Y1910" s="4"/>
      <c r="Z1910" s="4"/>
      <c r="AA1910" s="4"/>
      <c r="AB1910" s="4"/>
      <c r="AC1910" s="4"/>
      <c r="AD1910" s="4"/>
      <c r="AE1910" s="4"/>
      <c r="AF1910" s="4"/>
      <c r="AG1910" s="4"/>
      <c r="AH1910" s="4"/>
      <c r="AI1910" s="4"/>
      <c r="AJ1910" s="4"/>
      <c r="AK1910" s="4"/>
      <c r="AL1910" s="4"/>
      <c r="AM1910" s="4"/>
      <c r="AN1910" s="4"/>
      <c r="AO1910" s="4"/>
      <c r="AP1910" s="4"/>
      <c r="AQ1910" s="4"/>
      <c r="AR1910" s="4"/>
      <c r="AS1910" s="4"/>
      <c r="AT1910" s="4"/>
      <c r="AU1910" s="4"/>
      <c r="AV1910" s="4"/>
    </row>
    <row r="1911" spans="4:48" x14ac:dyDescent="0.3">
      <c r="D1911" s="5"/>
      <c r="E1911" s="5"/>
      <c r="F1911" s="20"/>
      <c r="G1911" s="20"/>
      <c r="H1911" s="5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4"/>
      <c r="T1911" s="4"/>
      <c r="U1911" s="4"/>
      <c r="V1911" s="4"/>
      <c r="W1911" s="4"/>
      <c r="X1911" s="4"/>
      <c r="Y1911" s="4"/>
      <c r="Z1911" s="4"/>
      <c r="AA1911" s="4"/>
      <c r="AB1911" s="4"/>
      <c r="AC1911" s="4"/>
      <c r="AD1911" s="4"/>
      <c r="AE1911" s="4"/>
      <c r="AF1911" s="4"/>
      <c r="AG1911" s="4"/>
      <c r="AH1911" s="4"/>
      <c r="AI1911" s="4"/>
      <c r="AJ1911" s="4"/>
      <c r="AK1911" s="4"/>
      <c r="AL1911" s="4"/>
      <c r="AM1911" s="4"/>
      <c r="AN1911" s="4"/>
      <c r="AO1911" s="4"/>
      <c r="AP1911" s="4"/>
      <c r="AQ1911" s="4"/>
      <c r="AR1911" s="4"/>
      <c r="AS1911" s="4"/>
      <c r="AT1911" s="4"/>
      <c r="AU1911" s="4"/>
      <c r="AV1911" s="4"/>
    </row>
    <row r="1912" spans="4:48" x14ac:dyDescent="0.3">
      <c r="D1912" s="5"/>
      <c r="E1912" s="5"/>
      <c r="F1912" s="20"/>
      <c r="G1912" s="20"/>
      <c r="H1912" s="5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4"/>
      <c r="T1912" s="4"/>
      <c r="U1912" s="4"/>
      <c r="V1912" s="4"/>
      <c r="W1912" s="4"/>
      <c r="X1912" s="4"/>
      <c r="Y1912" s="4"/>
      <c r="Z1912" s="4"/>
      <c r="AA1912" s="4"/>
      <c r="AB1912" s="4"/>
      <c r="AC1912" s="4"/>
      <c r="AD1912" s="4"/>
      <c r="AE1912" s="4"/>
      <c r="AF1912" s="4"/>
      <c r="AG1912" s="4"/>
      <c r="AH1912" s="4"/>
      <c r="AI1912" s="4"/>
      <c r="AJ1912" s="4"/>
      <c r="AK1912" s="4"/>
      <c r="AL1912" s="4"/>
      <c r="AM1912" s="4"/>
      <c r="AN1912" s="4"/>
      <c r="AO1912" s="4"/>
      <c r="AP1912" s="4"/>
      <c r="AQ1912" s="4"/>
      <c r="AR1912" s="4"/>
      <c r="AS1912" s="4"/>
      <c r="AT1912" s="4"/>
      <c r="AU1912" s="4"/>
      <c r="AV1912" s="4"/>
    </row>
    <row r="1913" spans="4:48" x14ac:dyDescent="0.3">
      <c r="D1913" s="5"/>
      <c r="E1913" s="5"/>
      <c r="F1913" s="20"/>
      <c r="G1913" s="20"/>
      <c r="H1913" s="5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4"/>
      <c r="T1913" s="4"/>
      <c r="U1913" s="4"/>
      <c r="V1913" s="4"/>
      <c r="W1913" s="4"/>
      <c r="X1913" s="4"/>
      <c r="Y1913" s="4"/>
      <c r="Z1913" s="4"/>
      <c r="AA1913" s="4"/>
      <c r="AB1913" s="4"/>
      <c r="AC1913" s="4"/>
      <c r="AD1913" s="4"/>
      <c r="AE1913" s="4"/>
      <c r="AF1913" s="4"/>
      <c r="AG1913" s="4"/>
      <c r="AH1913" s="4"/>
      <c r="AI1913" s="4"/>
      <c r="AJ1913" s="4"/>
      <c r="AK1913" s="4"/>
      <c r="AL1913" s="4"/>
      <c r="AM1913" s="4"/>
      <c r="AN1913" s="4"/>
      <c r="AO1913" s="4"/>
      <c r="AP1913" s="4"/>
      <c r="AQ1913" s="4"/>
      <c r="AR1913" s="4"/>
      <c r="AS1913" s="4"/>
      <c r="AT1913" s="4"/>
      <c r="AU1913" s="4"/>
      <c r="AV1913" s="4"/>
    </row>
    <row r="1914" spans="4:48" x14ac:dyDescent="0.3">
      <c r="D1914" s="5"/>
      <c r="E1914" s="5"/>
      <c r="F1914" s="20"/>
      <c r="G1914" s="20"/>
      <c r="H1914" s="5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4"/>
      <c r="T1914" s="4"/>
      <c r="U1914" s="4"/>
      <c r="V1914" s="4"/>
      <c r="W1914" s="4"/>
      <c r="X1914" s="4"/>
      <c r="Y1914" s="4"/>
      <c r="Z1914" s="4"/>
      <c r="AA1914" s="4"/>
      <c r="AB1914" s="4"/>
      <c r="AC1914" s="4"/>
      <c r="AD1914" s="4"/>
      <c r="AE1914" s="4"/>
      <c r="AF1914" s="4"/>
      <c r="AG1914" s="4"/>
      <c r="AH1914" s="4"/>
      <c r="AI1914" s="4"/>
      <c r="AJ1914" s="4"/>
      <c r="AK1914" s="4"/>
      <c r="AL1914" s="4"/>
      <c r="AM1914" s="4"/>
      <c r="AN1914" s="4"/>
      <c r="AO1914" s="4"/>
      <c r="AP1914" s="4"/>
      <c r="AQ1914" s="4"/>
      <c r="AR1914" s="4"/>
      <c r="AS1914" s="4"/>
      <c r="AT1914" s="4"/>
      <c r="AU1914" s="4"/>
      <c r="AV1914" s="4"/>
    </row>
    <row r="1915" spans="4:48" x14ac:dyDescent="0.3">
      <c r="D1915" s="5"/>
      <c r="E1915" s="5"/>
      <c r="F1915" s="20"/>
      <c r="G1915" s="20"/>
      <c r="H1915" s="5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4"/>
      <c r="T1915" s="4"/>
      <c r="U1915" s="4"/>
      <c r="V1915" s="4"/>
      <c r="W1915" s="4"/>
      <c r="X1915" s="4"/>
      <c r="Y1915" s="4"/>
      <c r="Z1915" s="4"/>
      <c r="AA1915" s="4"/>
      <c r="AB1915" s="4"/>
      <c r="AC1915" s="4"/>
      <c r="AD1915" s="4"/>
      <c r="AE1915" s="4"/>
      <c r="AF1915" s="4"/>
      <c r="AG1915" s="4"/>
      <c r="AH1915" s="4"/>
      <c r="AI1915" s="4"/>
      <c r="AJ1915" s="4"/>
      <c r="AK1915" s="4"/>
      <c r="AL1915" s="4"/>
      <c r="AM1915" s="4"/>
      <c r="AN1915" s="4"/>
      <c r="AO1915" s="4"/>
      <c r="AP1915" s="4"/>
      <c r="AQ1915" s="4"/>
      <c r="AR1915" s="4"/>
      <c r="AS1915" s="4"/>
      <c r="AT1915" s="4"/>
      <c r="AU1915" s="4"/>
      <c r="AV1915" s="4"/>
    </row>
    <row r="1916" spans="4:48" x14ac:dyDescent="0.3">
      <c r="D1916" s="5"/>
      <c r="E1916" s="5"/>
      <c r="F1916" s="20"/>
      <c r="G1916" s="20"/>
      <c r="H1916" s="5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4"/>
      <c r="T1916" s="4"/>
      <c r="U1916" s="4"/>
      <c r="V1916" s="4"/>
      <c r="W1916" s="4"/>
      <c r="X1916" s="4"/>
      <c r="Y1916" s="4"/>
      <c r="Z1916" s="4"/>
      <c r="AA1916" s="4"/>
      <c r="AB1916" s="4"/>
      <c r="AC1916" s="4"/>
      <c r="AD1916" s="4"/>
      <c r="AE1916" s="4"/>
      <c r="AF1916" s="4"/>
      <c r="AG1916" s="4"/>
      <c r="AH1916" s="4"/>
      <c r="AI1916" s="4"/>
      <c r="AJ1916" s="4"/>
      <c r="AK1916" s="4"/>
      <c r="AL1916" s="4"/>
      <c r="AM1916" s="4"/>
      <c r="AN1916" s="4"/>
      <c r="AO1916" s="4"/>
      <c r="AP1916" s="4"/>
      <c r="AQ1916" s="4"/>
      <c r="AR1916" s="4"/>
      <c r="AS1916" s="4"/>
      <c r="AT1916" s="4"/>
      <c r="AU1916" s="4"/>
      <c r="AV1916" s="4"/>
    </row>
    <row r="1917" spans="4:48" x14ac:dyDescent="0.3">
      <c r="D1917" s="5"/>
      <c r="E1917" s="5"/>
      <c r="F1917" s="20"/>
      <c r="G1917" s="20"/>
      <c r="H1917" s="5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4"/>
      <c r="T1917" s="4"/>
      <c r="U1917" s="4"/>
      <c r="V1917" s="4"/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  <c r="AG1917" s="4"/>
      <c r="AH1917" s="4"/>
      <c r="AI1917" s="4"/>
      <c r="AJ1917" s="4"/>
      <c r="AK1917" s="4"/>
      <c r="AL1917" s="4"/>
      <c r="AM1917" s="4"/>
      <c r="AN1917" s="4"/>
      <c r="AO1917" s="4"/>
      <c r="AP1917" s="4"/>
      <c r="AQ1917" s="4"/>
      <c r="AR1917" s="4"/>
      <c r="AS1917" s="4"/>
      <c r="AT1917" s="4"/>
      <c r="AU1917" s="4"/>
      <c r="AV1917" s="4"/>
    </row>
    <row r="1918" spans="4:48" x14ac:dyDescent="0.3">
      <c r="D1918" s="5"/>
      <c r="E1918" s="5"/>
      <c r="F1918" s="20"/>
      <c r="G1918" s="20"/>
      <c r="H1918" s="5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4"/>
      <c r="T1918" s="4"/>
      <c r="U1918" s="4"/>
      <c r="V1918" s="4"/>
      <c r="W1918" s="4"/>
      <c r="X1918" s="4"/>
      <c r="Y1918" s="4"/>
      <c r="Z1918" s="4"/>
      <c r="AA1918" s="4"/>
      <c r="AB1918" s="4"/>
      <c r="AC1918" s="4"/>
      <c r="AD1918" s="4"/>
      <c r="AE1918" s="4"/>
      <c r="AF1918" s="4"/>
      <c r="AG1918" s="4"/>
      <c r="AH1918" s="4"/>
      <c r="AI1918" s="4"/>
      <c r="AJ1918" s="4"/>
      <c r="AK1918" s="4"/>
      <c r="AL1918" s="4"/>
      <c r="AM1918" s="4"/>
      <c r="AN1918" s="4"/>
      <c r="AO1918" s="4"/>
      <c r="AP1918" s="4"/>
      <c r="AQ1918" s="4"/>
      <c r="AR1918" s="4"/>
      <c r="AS1918" s="4"/>
      <c r="AT1918" s="4"/>
      <c r="AU1918" s="4"/>
      <c r="AV1918" s="4"/>
    </row>
    <row r="1919" spans="4:48" x14ac:dyDescent="0.3">
      <c r="D1919" s="5"/>
      <c r="E1919" s="5"/>
      <c r="F1919" s="20"/>
      <c r="G1919" s="20"/>
      <c r="H1919" s="5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4"/>
      <c r="T1919" s="4"/>
      <c r="U1919" s="4"/>
      <c r="V1919" s="4"/>
      <c r="W1919" s="4"/>
      <c r="X1919" s="4"/>
      <c r="Y1919" s="4"/>
      <c r="Z1919" s="4"/>
      <c r="AA1919" s="4"/>
      <c r="AB1919" s="4"/>
      <c r="AC1919" s="4"/>
      <c r="AD1919" s="4"/>
      <c r="AE1919" s="4"/>
      <c r="AF1919" s="4"/>
      <c r="AG1919" s="4"/>
      <c r="AH1919" s="4"/>
      <c r="AI1919" s="4"/>
      <c r="AJ1919" s="4"/>
      <c r="AK1919" s="4"/>
      <c r="AL1919" s="4"/>
      <c r="AM1919" s="4"/>
      <c r="AN1919" s="4"/>
      <c r="AO1919" s="4"/>
      <c r="AP1919" s="4"/>
      <c r="AQ1919" s="4"/>
      <c r="AR1919" s="4"/>
      <c r="AS1919" s="4"/>
      <c r="AT1919" s="4"/>
      <c r="AU1919" s="4"/>
      <c r="AV1919" s="4"/>
    </row>
    <row r="1920" spans="4:48" x14ac:dyDescent="0.3">
      <c r="D1920" s="5"/>
      <c r="E1920" s="5"/>
      <c r="F1920" s="20"/>
      <c r="G1920" s="20"/>
      <c r="H1920" s="5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4"/>
      <c r="T1920" s="4"/>
      <c r="U1920" s="4"/>
      <c r="V1920" s="4"/>
      <c r="W1920" s="4"/>
      <c r="X1920" s="4"/>
      <c r="Y1920" s="4"/>
      <c r="Z1920" s="4"/>
      <c r="AA1920" s="4"/>
      <c r="AB1920" s="4"/>
      <c r="AC1920" s="4"/>
      <c r="AD1920" s="4"/>
      <c r="AE1920" s="4"/>
      <c r="AF1920" s="4"/>
      <c r="AG1920" s="4"/>
      <c r="AH1920" s="4"/>
      <c r="AI1920" s="4"/>
      <c r="AJ1920" s="4"/>
      <c r="AK1920" s="4"/>
      <c r="AL1920" s="4"/>
      <c r="AM1920" s="4"/>
      <c r="AN1920" s="4"/>
      <c r="AO1920" s="4"/>
      <c r="AP1920" s="4"/>
      <c r="AQ1920" s="4"/>
      <c r="AR1920" s="4"/>
      <c r="AS1920" s="4"/>
      <c r="AT1920" s="4"/>
      <c r="AU1920" s="4"/>
      <c r="AV1920" s="4"/>
    </row>
    <row r="1921" spans="4:48" x14ac:dyDescent="0.3">
      <c r="D1921" s="5"/>
      <c r="E1921" s="5"/>
      <c r="F1921" s="20"/>
      <c r="G1921" s="20"/>
      <c r="H1921" s="5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4"/>
      <c r="T1921" s="4"/>
      <c r="U1921" s="4"/>
      <c r="V1921" s="4"/>
      <c r="W1921" s="4"/>
      <c r="X1921" s="4"/>
      <c r="Y1921" s="4"/>
      <c r="Z1921" s="4"/>
      <c r="AA1921" s="4"/>
      <c r="AB1921" s="4"/>
      <c r="AC1921" s="4"/>
      <c r="AD1921" s="4"/>
      <c r="AE1921" s="4"/>
      <c r="AF1921" s="4"/>
      <c r="AG1921" s="4"/>
      <c r="AH1921" s="4"/>
      <c r="AI1921" s="4"/>
      <c r="AJ1921" s="4"/>
      <c r="AK1921" s="4"/>
      <c r="AL1921" s="4"/>
      <c r="AM1921" s="4"/>
      <c r="AN1921" s="4"/>
      <c r="AO1921" s="4"/>
      <c r="AP1921" s="4"/>
      <c r="AQ1921" s="4"/>
      <c r="AR1921" s="4"/>
      <c r="AS1921" s="4"/>
      <c r="AT1921" s="4"/>
      <c r="AU1921" s="4"/>
      <c r="AV1921" s="4"/>
    </row>
    <row r="1922" spans="4:48" x14ac:dyDescent="0.3">
      <c r="D1922" s="5"/>
      <c r="E1922" s="5"/>
      <c r="F1922" s="20"/>
      <c r="G1922" s="20"/>
      <c r="H1922" s="5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4"/>
      <c r="T1922" s="4"/>
      <c r="U1922" s="4"/>
      <c r="V1922" s="4"/>
      <c r="W1922" s="4"/>
      <c r="X1922" s="4"/>
      <c r="Y1922" s="4"/>
      <c r="Z1922" s="4"/>
      <c r="AA1922" s="4"/>
      <c r="AB1922" s="4"/>
      <c r="AC1922" s="4"/>
      <c r="AD1922" s="4"/>
      <c r="AE1922" s="4"/>
      <c r="AF1922" s="4"/>
      <c r="AG1922" s="4"/>
      <c r="AH1922" s="4"/>
      <c r="AI1922" s="4"/>
      <c r="AJ1922" s="4"/>
      <c r="AK1922" s="4"/>
      <c r="AL1922" s="4"/>
      <c r="AM1922" s="4"/>
      <c r="AN1922" s="4"/>
      <c r="AO1922" s="4"/>
      <c r="AP1922" s="4"/>
      <c r="AQ1922" s="4"/>
      <c r="AR1922" s="4"/>
      <c r="AS1922" s="4"/>
      <c r="AT1922" s="4"/>
      <c r="AU1922" s="4"/>
      <c r="AV1922" s="4"/>
    </row>
    <row r="1923" spans="4:48" x14ac:dyDescent="0.3">
      <c r="D1923" s="5"/>
      <c r="E1923" s="5"/>
      <c r="F1923" s="20"/>
      <c r="G1923" s="20"/>
      <c r="H1923" s="5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4"/>
      <c r="T1923" s="4"/>
      <c r="U1923" s="4"/>
      <c r="V1923" s="4"/>
      <c r="W1923" s="4"/>
      <c r="X1923" s="4"/>
      <c r="Y1923" s="4"/>
      <c r="Z1923" s="4"/>
      <c r="AA1923" s="4"/>
      <c r="AB1923" s="4"/>
      <c r="AC1923" s="4"/>
      <c r="AD1923" s="4"/>
      <c r="AE1923" s="4"/>
      <c r="AF1923" s="4"/>
      <c r="AG1923" s="4"/>
      <c r="AH1923" s="4"/>
      <c r="AI1923" s="4"/>
      <c r="AJ1923" s="4"/>
      <c r="AK1923" s="4"/>
      <c r="AL1923" s="4"/>
      <c r="AM1923" s="4"/>
      <c r="AN1923" s="4"/>
      <c r="AO1923" s="4"/>
      <c r="AP1923" s="4"/>
      <c r="AQ1923" s="4"/>
      <c r="AR1923" s="4"/>
      <c r="AS1923" s="4"/>
      <c r="AT1923" s="4"/>
      <c r="AU1923" s="4"/>
      <c r="AV1923" s="4"/>
    </row>
    <row r="1924" spans="4:48" x14ac:dyDescent="0.3">
      <c r="D1924" s="5"/>
      <c r="E1924" s="5"/>
      <c r="F1924" s="20"/>
      <c r="G1924" s="20"/>
      <c r="H1924" s="5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4"/>
      <c r="T1924" s="4"/>
      <c r="U1924" s="4"/>
      <c r="V1924" s="4"/>
      <c r="W1924" s="4"/>
      <c r="X1924" s="4"/>
      <c r="Y1924" s="4"/>
      <c r="Z1924" s="4"/>
      <c r="AA1924" s="4"/>
      <c r="AB1924" s="4"/>
      <c r="AC1924" s="4"/>
      <c r="AD1924" s="4"/>
      <c r="AE1924" s="4"/>
      <c r="AF1924" s="4"/>
      <c r="AG1924" s="4"/>
      <c r="AH1924" s="4"/>
      <c r="AI1924" s="4"/>
      <c r="AJ1924" s="4"/>
      <c r="AK1924" s="4"/>
      <c r="AL1924" s="4"/>
      <c r="AM1924" s="4"/>
      <c r="AN1924" s="4"/>
      <c r="AO1924" s="4"/>
      <c r="AP1924" s="4"/>
      <c r="AQ1924" s="4"/>
      <c r="AR1924" s="4"/>
      <c r="AS1924" s="4"/>
      <c r="AT1924" s="4"/>
      <c r="AU1924" s="4"/>
      <c r="AV1924" s="4"/>
    </row>
    <row r="1925" spans="4:48" x14ac:dyDescent="0.3">
      <c r="D1925" s="5"/>
      <c r="E1925" s="5"/>
      <c r="F1925" s="20"/>
      <c r="G1925" s="20"/>
      <c r="H1925" s="5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4"/>
      <c r="T1925" s="4"/>
      <c r="U1925" s="4"/>
      <c r="V1925" s="4"/>
      <c r="W1925" s="4"/>
      <c r="X1925" s="4"/>
      <c r="Y1925" s="4"/>
      <c r="Z1925" s="4"/>
      <c r="AA1925" s="4"/>
      <c r="AB1925" s="4"/>
      <c r="AC1925" s="4"/>
      <c r="AD1925" s="4"/>
      <c r="AE1925" s="4"/>
      <c r="AF1925" s="4"/>
      <c r="AG1925" s="4"/>
      <c r="AH1925" s="4"/>
      <c r="AI1925" s="4"/>
      <c r="AJ1925" s="4"/>
      <c r="AK1925" s="4"/>
      <c r="AL1925" s="4"/>
      <c r="AM1925" s="4"/>
      <c r="AN1925" s="4"/>
      <c r="AO1925" s="4"/>
      <c r="AP1925" s="4"/>
      <c r="AQ1925" s="4"/>
      <c r="AR1925" s="4"/>
      <c r="AS1925" s="4"/>
      <c r="AT1925" s="4"/>
      <c r="AU1925" s="4"/>
      <c r="AV1925" s="4"/>
    </row>
    <row r="1926" spans="4:48" x14ac:dyDescent="0.3">
      <c r="D1926" s="5"/>
      <c r="E1926" s="5"/>
      <c r="F1926" s="20"/>
      <c r="G1926" s="20"/>
      <c r="H1926" s="5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4"/>
      <c r="T1926" s="4"/>
      <c r="U1926" s="4"/>
      <c r="V1926" s="4"/>
      <c r="W1926" s="4"/>
      <c r="X1926" s="4"/>
      <c r="Y1926" s="4"/>
      <c r="Z1926" s="4"/>
      <c r="AA1926" s="4"/>
      <c r="AB1926" s="4"/>
      <c r="AC1926" s="4"/>
      <c r="AD1926" s="4"/>
      <c r="AE1926" s="4"/>
      <c r="AF1926" s="4"/>
      <c r="AG1926" s="4"/>
      <c r="AH1926" s="4"/>
      <c r="AI1926" s="4"/>
      <c r="AJ1926" s="4"/>
      <c r="AK1926" s="4"/>
      <c r="AL1926" s="4"/>
      <c r="AM1926" s="4"/>
      <c r="AN1926" s="4"/>
      <c r="AO1926" s="4"/>
      <c r="AP1926" s="4"/>
      <c r="AQ1926" s="4"/>
      <c r="AR1926" s="4"/>
      <c r="AS1926" s="4"/>
      <c r="AT1926" s="4"/>
      <c r="AU1926" s="4"/>
      <c r="AV1926" s="4"/>
    </row>
    <row r="1927" spans="4:48" x14ac:dyDescent="0.3">
      <c r="D1927" s="5"/>
      <c r="E1927" s="5"/>
      <c r="F1927" s="20"/>
      <c r="G1927" s="20"/>
      <c r="H1927" s="5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4"/>
      <c r="T1927" s="4"/>
      <c r="U1927" s="4"/>
      <c r="V1927" s="4"/>
      <c r="W1927" s="4"/>
      <c r="X1927" s="4"/>
      <c r="Y1927" s="4"/>
      <c r="Z1927" s="4"/>
      <c r="AA1927" s="4"/>
      <c r="AB1927" s="4"/>
      <c r="AC1927" s="4"/>
      <c r="AD1927" s="4"/>
      <c r="AE1927" s="4"/>
      <c r="AF1927" s="4"/>
      <c r="AG1927" s="4"/>
      <c r="AH1927" s="4"/>
      <c r="AI1927" s="4"/>
      <c r="AJ1927" s="4"/>
      <c r="AK1927" s="4"/>
      <c r="AL1927" s="4"/>
      <c r="AM1927" s="4"/>
      <c r="AN1927" s="4"/>
      <c r="AO1927" s="4"/>
      <c r="AP1927" s="4"/>
      <c r="AQ1927" s="4"/>
      <c r="AR1927" s="4"/>
      <c r="AS1927" s="4"/>
      <c r="AT1927" s="4"/>
      <c r="AU1927" s="4"/>
      <c r="AV1927" s="4"/>
    </row>
    <row r="1928" spans="4:48" x14ac:dyDescent="0.3">
      <c r="D1928" s="5"/>
      <c r="E1928" s="5"/>
      <c r="F1928" s="20"/>
      <c r="G1928" s="20"/>
      <c r="H1928" s="5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4"/>
      <c r="T1928" s="4"/>
      <c r="U1928" s="4"/>
      <c r="V1928" s="4"/>
      <c r="W1928" s="4"/>
      <c r="X1928" s="4"/>
      <c r="Y1928" s="4"/>
      <c r="Z1928" s="4"/>
      <c r="AA1928" s="4"/>
      <c r="AB1928" s="4"/>
      <c r="AC1928" s="4"/>
      <c r="AD1928" s="4"/>
      <c r="AE1928" s="4"/>
      <c r="AF1928" s="4"/>
      <c r="AG1928" s="4"/>
      <c r="AH1928" s="4"/>
      <c r="AI1928" s="4"/>
      <c r="AJ1928" s="4"/>
      <c r="AK1928" s="4"/>
      <c r="AL1928" s="4"/>
      <c r="AM1928" s="4"/>
      <c r="AN1928" s="4"/>
      <c r="AO1928" s="4"/>
      <c r="AP1928" s="4"/>
      <c r="AQ1928" s="4"/>
      <c r="AR1928" s="4"/>
      <c r="AS1928" s="4"/>
      <c r="AT1928" s="4"/>
      <c r="AU1928" s="4"/>
      <c r="AV1928" s="4"/>
    </row>
    <row r="1929" spans="4:48" x14ac:dyDescent="0.3">
      <c r="D1929" s="5"/>
      <c r="E1929" s="5"/>
      <c r="F1929" s="20"/>
      <c r="G1929" s="20"/>
      <c r="H1929" s="5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4"/>
      <c r="T1929" s="4"/>
      <c r="U1929" s="4"/>
      <c r="V1929" s="4"/>
      <c r="W1929" s="4"/>
      <c r="X1929" s="4"/>
      <c r="Y1929" s="4"/>
      <c r="Z1929" s="4"/>
      <c r="AA1929" s="4"/>
      <c r="AB1929" s="4"/>
      <c r="AC1929" s="4"/>
      <c r="AD1929" s="4"/>
      <c r="AE1929" s="4"/>
      <c r="AF1929" s="4"/>
      <c r="AG1929" s="4"/>
      <c r="AH1929" s="4"/>
      <c r="AI1929" s="4"/>
      <c r="AJ1929" s="4"/>
      <c r="AK1929" s="4"/>
      <c r="AL1929" s="4"/>
      <c r="AM1929" s="4"/>
      <c r="AN1929" s="4"/>
      <c r="AO1929" s="4"/>
      <c r="AP1929" s="4"/>
      <c r="AQ1929" s="4"/>
      <c r="AR1929" s="4"/>
      <c r="AS1929" s="4"/>
      <c r="AT1929" s="4"/>
      <c r="AU1929" s="4"/>
      <c r="AV1929" s="4"/>
    </row>
    <row r="1930" spans="4:48" x14ac:dyDescent="0.3">
      <c r="D1930" s="5"/>
      <c r="E1930" s="5"/>
      <c r="F1930" s="20"/>
      <c r="G1930" s="20"/>
      <c r="H1930" s="5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4"/>
      <c r="T1930" s="4"/>
      <c r="U1930" s="4"/>
      <c r="V1930" s="4"/>
      <c r="W1930" s="4"/>
      <c r="X1930" s="4"/>
      <c r="Y1930" s="4"/>
      <c r="Z1930" s="4"/>
      <c r="AA1930" s="4"/>
      <c r="AB1930" s="4"/>
      <c r="AC1930" s="4"/>
      <c r="AD1930" s="4"/>
      <c r="AE1930" s="4"/>
      <c r="AF1930" s="4"/>
      <c r="AG1930" s="4"/>
      <c r="AH1930" s="4"/>
      <c r="AI1930" s="4"/>
      <c r="AJ1930" s="4"/>
      <c r="AK1930" s="4"/>
      <c r="AL1930" s="4"/>
      <c r="AM1930" s="4"/>
      <c r="AN1930" s="4"/>
      <c r="AO1930" s="4"/>
      <c r="AP1930" s="4"/>
      <c r="AQ1930" s="4"/>
      <c r="AR1930" s="4"/>
      <c r="AS1930" s="4"/>
      <c r="AT1930" s="4"/>
      <c r="AU1930" s="4"/>
      <c r="AV1930" s="4"/>
    </row>
    <row r="1931" spans="4:48" x14ac:dyDescent="0.3">
      <c r="D1931" s="5"/>
      <c r="E1931" s="5"/>
      <c r="F1931" s="20"/>
      <c r="G1931" s="20"/>
      <c r="H1931" s="5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4"/>
      <c r="T1931" s="4"/>
      <c r="U1931" s="4"/>
      <c r="V1931" s="4"/>
      <c r="W1931" s="4"/>
      <c r="X1931" s="4"/>
      <c r="Y1931" s="4"/>
      <c r="Z1931" s="4"/>
      <c r="AA1931" s="4"/>
      <c r="AB1931" s="4"/>
      <c r="AC1931" s="4"/>
      <c r="AD1931" s="4"/>
      <c r="AE1931" s="4"/>
      <c r="AF1931" s="4"/>
      <c r="AG1931" s="4"/>
      <c r="AH1931" s="4"/>
      <c r="AI1931" s="4"/>
      <c r="AJ1931" s="4"/>
      <c r="AK1931" s="4"/>
      <c r="AL1931" s="4"/>
      <c r="AM1931" s="4"/>
      <c r="AN1931" s="4"/>
      <c r="AO1931" s="4"/>
      <c r="AP1931" s="4"/>
      <c r="AQ1931" s="4"/>
      <c r="AR1931" s="4"/>
      <c r="AS1931" s="4"/>
      <c r="AT1931" s="4"/>
      <c r="AU1931" s="4"/>
      <c r="AV1931" s="4"/>
    </row>
    <row r="1932" spans="4:48" x14ac:dyDescent="0.3">
      <c r="D1932" s="5"/>
      <c r="E1932" s="5"/>
      <c r="F1932" s="20"/>
      <c r="G1932" s="20"/>
      <c r="H1932" s="5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4"/>
      <c r="T1932" s="4"/>
      <c r="U1932" s="4"/>
      <c r="V1932" s="4"/>
      <c r="W1932" s="4"/>
      <c r="X1932" s="4"/>
      <c r="Y1932" s="4"/>
      <c r="Z1932" s="4"/>
      <c r="AA1932" s="4"/>
      <c r="AB1932" s="4"/>
      <c r="AC1932" s="4"/>
      <c r="AD1932" s="4"/>
      <c r="AE1932" s="4"/>
      <c r="AF1932" s="4"/>
      <c r="AG1932" s="4"/>
      <c r="AH1932" s="4"/>
      <c r="AI1932" s="4"/>
      <c r="AJ1932" s="4"/>
      <c r="AK1932" s="4"/>
      <c r="AL1932" s="4"/>
      <c r="AM1932" s="4"/>
      <c r="AN1932" s="4"/>
      <c r="AO1932" s="4"/>
      <c r="AP1932" s="4"/>
      <c r="AQ1932" s="4"/>
      <c r="AR1932" s="4"/>
      <c r="AS1932" s="4"/>
      <c r="AT1932" s="4"/>
      <c r="AU1932" s="4"/>
      <c r="AV1932" s="4"/>
    </row>
    <row r="1933" spans="4:48" x14ac:dyDescent="0.3">
      <c r="D1933" s="5"/>
      <c r="E1933" s="5"/>
      <c r="F1933" s="20"/>
      <c r="G1933" s="20"/>
      <c r="H1933" s="5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4"/>
      <c r="T1933" s="4"/>
      <c r="U1933" s="4"/>
      <c r="V1933" s="4"/>
      <c r="W1933" s="4"/>
      <c r="X1933" s="4"/>
      <c r="Y1933" s="4"/>
      <c r="Z1933" s="4"/>
      <c r="AA1933" s="4"/>
      <c r="AB1933" s="4"/>
      <c r="AC1933" s="4"/>
      <c r="AD1933" s="4"/>
      <c r="AE1933" s="4"/>
      <c r="AF1933" s="4"/>
      <c r="AG1933" s="4"/>
      <c r="AH1933" s="4"/>
      <c r="AI1933" s="4"/>
      <c r="AJ1933" s="4"/>
      <c r="AK1933" s="4"/>
      <c r="AL1933" s="4"/>
      <c r="AM1933" s="4"/>
      <c r="AN1933" s="4"/>
      <c r="AO1933" s="4"/>
      <c r="AP1933" s="4"/>
      <c r="AQ1933" s="4"/>
      <c r="AR1933" s="4"/>
      <c r="AS1933" s="4"/>
      <c r="AT1933" s="4"/>
      <c r="AU1933" s="4"/>
      <c r="AV1933" s="4"/>
    </row>
    <row r="1934" spans="4:48" x14ac:dyDescent="0.3">
      <c r="D1934" s="5"/>
      <c r="E1934" s="5"/>
      <c r="F1934" s="20"/>
      <c r="G1934" s="20"/>
      <c r="H1934" s="5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4"/>
      <c r="T1934" s="4"/>
      <c r="U1934" s="4"/>
      <c r="V1934" s="4"/>
      <c r="W1934" s="4"/>
      <c r="X1934" s="4"/>
      <c r="Y1934" s="4"/>
      <c r="Z1934" s="4"/>
      <c r="AA1934" s="4"/>
      <c r="AB1934" s="4"/>
      <c r="AC1934" s="4"/>
      <c r="AD1934" s="4"/>
      <c r="AE1934" s="4"/>
      <c r="AF1934" s="4"/>
      <c r="AG1934" s="4"/>
      <c r="AH1934" s="4"/>
      <c r="AI1934" s="4"/>
      <c r="AJ1934" s="4"/>
      <c r="AK1934" s="4"/>
      <c r="AL1934" s="4"/>
      <c r="AM1934" s="4"/>
      <c r="AN1934" s="4"/>
      <c r="AO1934" s="4"/>
      <c r="AP1934" s="4"/>
      <c r="AQ1934" s="4"/>
      <c r="AR1934" s="4"/>
      <c r="AS1934" s="4"/>
      <c r="AT1934" s="4"/>
      <c r="AU1934" s="4"/>
      <c r="AV1934" s="4"/>
    </row>
    <row r="1935" spans="4:48" x14ac:dyDescent="0.3">
      <c r="D1935" s="5"/>
      <c r="E1935" s="5"/>
      <c r="F1935" s="20"/>
      <c r="G1935" s="20"/>
      <c r="H1935" s="5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4"/>
      <c r="T1935" s="4"/>
      <c r="U1935" s="4"/>
      <c r="V1935" s="4"/>
      <c r="W1935" s="4"/>
      <c r="X1935" s="4"/>
      <c r="Y1935" s="4"/>
      <c r="Z1935" s="4"/>
      <c r="AA1935" s="4"/>
      <c r="AB1935" s="4"/>
      <c r="AC1935" s="4"/>
      <c r="AD1935" s="4"/>
      <c r="AE1935" s="4"/>
      <c r="AF1935" s="4"/>
      <c r="AG1935" s="4"/>
      <c r="AH1935" s="4"/>
      <c r="AI1935" s="4"/>
      <c r="AJ1935" s="4"/>
      <c r="AK1935" s="4"/>
      <c r="AL1935" s="4"/>
      <c r="AM1935" s="4"/>
      <c r="AN1935" s="4"/>
      <c r="AO1935" s="4"/>
      <c r="AP1935" s="4"/>
      <c r="AQ1935" s="4"/>
      <c r="AR1935" s="4"/>
      <c r="AS1935" s="4"/>
      <c r="AT1935" s="4"/>
      <c r="AU1935" s="4"/>
      <c r="AV1935" s="4"/>
    </row>
    <row r="1936" spans="4:48" x14ac:dyDescent="0.3">
      <c r="D1936" s="5"/>
      <c r="E1936" s="5"/>
      <c r="F1936" s="20"/>
      <c r="G1936" s="20"/>
      <c r="H1936" s="5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4"/>
      <c r="T1936" s="4"/>
      <c r="U1936" s="4"/>
      <c r="V1936" s="4"/>
      <c r="W1936" s="4"/>
      <c r="X1936" s="4"/>
      <c r="Y1936" s="4"/>
      <c r="Z1936" s="4"/>
      <c r="AA1936" s="4"/>
      <c r="AB1936" s="4"/>
      <c r="AC1936" s="4"/>
      <c r="AD1936" s="4"/>
      <c r="AE1936" s="4"/>
      <c r="AF1936" s="4"/>
      <c r="AG1936" s="4"/>
      <c r="AH1936" s="4"/>
      <c r="AI1936" s="4"/>
      <c r="AJ1936" s="4"/>
      <c r="AK1936" s="4"/>
      <c r="AL1936" s="4"/>
      <c r="AM1936" s="4"/>
      <c r="AN1936" s="4"/>
      <c r="AO1936" s="4"/>
      <c r="AP1936" s="4"/>
      <c r="AQ1936" s="4"/>
      <c r="AR1936" s="4"/>
      <c r="AS1936" s="4"/>
      <c r="AT1936" s="4"/>
      <c r="AU1936" s="4"/>
      <c r="AV1936" s="4"/>
    </row>
    <row r="1937" spans="4:48" x14ac:dyDescent="0.3">
      <c r="D1937" s="5"/>
      <c r="E1937" s="5"/>
      <c r="F1937" s="20"/>
      <c r="G1937" s="20"/>
      <c r="H1937" s="5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4"/>
      <c r="T1937" s="4"/>
      <c r="U1937" s="4"/>
      <c r="V1937" s="4"/>
      <c r="W1937" s="4"/>
      <c r="X1937" s="4"/>
      <c r="Y1937" s="4"/>
      <c r="Z1937" s="4"/>
      <c r="AA1937" s="4"/>
      <c r="AB1937" s="4"/>
      <c r="AC1937" s="4"/>
      <c r="AD1937" s="4"/>
      <c r="AE1937" s="4"/>
      <c r="AF1937" s="4"/>
      <c r="AG1937" s="4"/>
      <c r="AH1937" s="4"/>
      <c r="AI1937" s="4"/>
      <c r="AJ1937" s="4"/>
      <c r="AK1937" s="4"/>
      <c r="AL1937" s="4"/>
      <c r="AM1937" s="4"/>
      <c r="AN1937" s="4"/>
      <c r="AO1937" s="4"/>
      <c r="AP1937" s="4"/>
      <c r="AQ1937" s="4"/>
      <c r="AR1937" s="4"/>
      <c r="AS1937" s="4"/>
      <c r="AT1937" s="4"/>
      <c r="AU1937" s="4"/>
      <c r="AV1937" s="4"/>
    </row>
    <row r="1938" spans="4:48" x14ac:dyDescent="0.3">
      <c r="D1938" s="5"/>
      <c r="E1938" s="5"/>
      <c r="F1938" s="20"/>
      <c r="G1938" s="20"/>
      <c r="H1938" s="5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4"/>
      <c r="T1938" s="4"/>
      <c r="U1938" s="4"/>
      <c r="V1938" s="4"/>
      <c r="W1938" s="4"/>
      <c r="X1938" s="4"/>
      <c r="Y1938" s="4"/>
      <c r="Z1938" s="4"/>
      <c r="AA1938" s="4"/>
      <c r="AB1938" s="4"/>
      <c r="AC1938" s="4"/>
      <c r="AD1938" s="4"/>
      <c r="AE1938" s="4"/>
      <c r="AF1938" s="4"/>
      <c r="AG1938" s="4"/>
      <c r="AH1938" s="4"/>
      <c r="AI1938" s="4"/>
      <c r="AJ1938" s="4"/>
      <c r="AK1938" s="4"/>
      <c r="AL1938" s="4"/>
      <c r="AM1938" s="4"/>
      <c r="AN1938" s="4"/>
      <c r="AO1938" s="4"/>
      <c r="AP1938" s="4"/>
      <c r="AQ1938" s="4"/>
      <c r="AR1938" s="4"/>
      <c r="AS1938" s="4"/>
      <c r="AT1938" s="4"/>
      <c r="AU1938" s="4"/>
      <c r="AV1938" s="4"/>
    </row>
    <row r="1939" spans="4:48" x14ac:dyDescent="0.3">
      <c r="D1939" s="5"/>
      <c r="E1939" s="5"/>
      <c r="F1939" s="20"/>
      <c r="G1939" s="20"/>
      <c r="H1939" s="5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4"/>
      <c r="T1939" s="4"/>
      <c r="U1939" s="4"/>
      <c r="V1939" s="4"/>
      <c r="W1939" s="4"/>
      <c r="X1939" s="4"/>
      <c r="Y1939" s="4"/>
      <c r="Z1939" s="4"/>
      <c r="AA1939" s="4"/>
      <c r="AB1939" s="4"/>
      <c r="AC1939" s="4"/>
      <c r="AD1939" s="4"/>
      <c r="AE1939" s="4"/>
      <c r="AF1939" s="4"/>
      <c r="AG1939" s="4"/>
      <c r="AH1939" s="4"/>
      <c r="AI1939" s="4"/>
      <c r="AJ1939" s="4"/>
      <c r="AK1939" s="4"/>
      <c r="AL1939" s="4"/>
      <c r="AM1939" s="4"/>
      <c r="AN1939" s="4"/>
      <c r="AO1939" s="4"/>
      <c r="AP1939" s="4"/>
      <c r="AQ1939" s="4"/>
      <c r="AR1939" s="4"/>
      <c r="AS1939" s="4"/>
      <c r="AT1939" s="4"/>
      <c r="AU1939" s="4"/>
      <c r="AV1939" s="4"/>
    </row>
    <row r="1940" spans="4:48" x14ac:dyDescent="0.3">
      <c r="D1940" s="5"/>
      <c r="E1940" s="5"/>
      <c r="F1940" s="20"/>
      <c r="G1940" s="20"/>
      <c r="H1940" s="5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4"/>
      <c r="T1940" s="4"/>
      <c r="U1940" s="4"/>
      <c r="V1940" s="4"/>
      <c r="W1940" s="4"/>
      <c r="X1940" s="4"/>
      <c r="Y1940" s="4"/>
      <c r="Z1940" s="4"/>
      <c r="AA1940" s="4"/>
      <c r="AB1940" s="4"/>
      <c r="AC1940" s="4"/>
      <c r="AD1940" s="4"/>
      <c r="AE1940" s="4"/>
      <c r="AF1940" s="4"/>
      <c r="AG1940" s="4"/>
      <c r="AH1940" s="4"/>
      <c r="AI1940" s="4"/>
      <c r="AJ1940" s="4"/>
      <c r="AK1940" s="4"/>
      <c r="AL1940" s="4"/>
      <c r="AM1940" s="4"/>
      <c r="AN1940" s="4"/>
      <c r="AO1940" s="4"/>
      <c r="AP1940" s="4"/>
      <c r="AQ1940" s="4"/>
      <c r="AR1940" s="4"/>
      <c r="AS1940" s="4"/>
      <c r="AT1940" s="4"/>
      <c r="AU1940" s="4"/>
      <c r="AV1940" s="4"/>
    </row>
    <row r="1941" spans="4:48" x14ac:dyDescent="0.3">
      <c r="D1941" s="5"/>
      <c r="E1941" s="5"/>
      <c r="F1941" s="20"/>
      <c r="G1941" s="20"/>
      <c r="H1941" s="5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4"/>
      <c r="T1941" s="4"/>
      <c r="U1941" s="4"/>
      <c r="V1941" s="4"/>
      <c r="W1941" s="4"/>
      <c r="X1941" s="4"/>
      <c r="Y1941" s="4"/>
      <c r="Z1941" s="4"/>
      <c r="AA1941" s="4"/>
      <c r="AB1941" s="4"/>
      <c r="AC1941" s="4"/>
      <c r="AD1941" s="4"/>
      <c r="AE1941" s="4"/>
      <c r="AF1941" s="4"/>
      <c r="AG1941" s="4"/>
      <c r="AH1941" s="4"/>
      <c r="AI1941" s="4"/>
      <c r="AJ1941" s="4"/>
      <c r="AK1941" s="4"/>
      <c r="AL1941" s="4"/>
      <c r="AM1941" s="4"/>
      <c r="AN1941" s="4"/>
      <c r="AO1941" s="4"/>
      <c r="AP1941" s="4"/>
      <c r="AQ1941" s="4"/>
      <c r="AR1941" s="4"/>
      <c r="AS1941" s="4"/>
      <c r="AT1941" s="4"/>
      <c r="AU1941" s="4"/>
      <c r="AV1941" s="4"/>
    </row>
    <row r="1942" spans="4:48" x14ac:dyDescent="0.3">
      <c r="D1942" s="5"/>
      <c r="E1942" s="5"/>
      <c r="F1942" s="20"/>
      <c r="G1942" s="20"/>
      <c r="H1942" s="5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4"/>
      <c r="T1942" s="4"/>
      <c r="U1942" s="4"/>
      <c r="V1942" s="4"/>
      <c r="W1942" s="4"/>
      <c r="X1942" s="4"/>
      <c r="Y1942" s="4"/>
      <c r="Z1942" s="4"/>
      <c r="AA1942" s="4"/>
      <c r="AB1942" s="4"/>
      <c r="AC1942" s="4"/>
      <c r="AD1942" s="4"/>
      <c r="AE1942" s="4"/>
      <c r="AF1942" s="4"/>
      <c r="AG1942" s="4"/>
      <c r="AH1942" s="4"/>
      <c r="AI1942" s="4"/>
      <c r="AJ1942" s="4"/>
      <c r="AK1942" s="4"/>
      <c r="AL1942" s="4"/>
      <c r="AM1942" s="4"/>
      <c r="AN1942" s="4"/>
      <c r="AO1942" s="4"/>
      <c r="AP1942" s="4"/>
      <c r="AQ1942" s="4"/>
      <c r="AR1942" s="4"/>
      <c r="AS1942" s="4"/>
      <c r="AT1942" s="4"/>
      <c r="AU1942" s="4"/>
      <c r="AV1942" s="4"/>
    </row>
    <row r="1943" spans="4:48" x14ac:dyDescent="0.3">
      <c r="D1943" s="5"/>
      <c r="E1943" s="5"/>
      <c r="F1943" s="20"/>
      <c r="G1943" s="20"/>
      <c r="H1943" s="5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4"/>
      <c r="T1943" s="4"/>
      <c r="U1943" s="4"/>
      <c r="V1943" s="4"/>
      <c r="W1943" s="4"/>
      <c r="X1943" s="4"/>
      <c r="Y1943" s="4"/>
      <c r="Z1943" s="4"/>
      <c r="AA1943" s="4"/>
      <c r="AB1943" s="4"/>
      <c r="AC1943" s="4"/>
      <c r="AD1943" s="4"/>
      <c r="AE1943" s="4"/>
      <c r="AF1943" s="4"/>
      <c r="AG1943" s="4"/>
      <c r="AH1943" s="4"/>
      <c r="AI1943" s="4"/>
      <c r="AJ1943" s="4"/>
      <c r="AK1943" s="4"/>
      <c r="AL1943" s="4"/>
      <c r="AM1943" s="4"/>
      <c r="AN1943" s="4"/>
      <c r="AO1943" s="4"/>
      <c r="AP1943" s="4"/>
      <c r="AQ1943" s="4"/>
      <c r="AR1943" s="4"/>
      <c r="AS1943" s="4"/>
      <c r="AT1943" s="4"/>
      <c r="AU1943" s="4"/>
      <c r="AV1943" s="4"/>
    </row>
    <row r="1944" spans="4:48" x14ac:dyDescent="0.3">
      <c r="D1944" s="5"/>
      <c r="E1944" s="5"/>
      <c r="F1944" s="20"/>
      <c r="G1944" s="20"/>
      <c r="H1944" s="5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4"/>
      <c r="T1944" s="4"/>
      <c r="U1944" s="4"/>
      <c r="V1944" s="4"/>
      <c r="W1944" s="4"/>
      <c r="X1944" s="4"/>
      <c r="Y1944" s="4"/>
      <c r="Z1944" s="4"/>
      <c r="AA1944" s="4"/>
      <c r="AB1944" s="4"/>
      <c r="AC1944" s="4"/>
      <c r="AD1944" s="4"/>
      <c r="AE1944" s="4"/>
      <c r="AF1944" s="4"/>
      <c r="AG1944" s="4"/>
      <c r="AH1944" s="4"/>
      <c r="AI1944" s="4"/>
      <c r="AJ1944" s="4"/>
      <c r="AK1944" s="4"/>
      <c r="AL1944" s="4"/>
      <c r="AM1944" s="4"/>
      <c r="AN1944" s="4"/>
      <c r="AO1944" s="4"/>
      <c r="AP1944" s="4"/>
      <c r="AQ1944" s="4"/>
      <c r="AR1944" s="4"/>
      <c r="AS1944" s="4"/>
      <c r="AT1944" s="4"/>
      <c r="AU1944" s="4"/>
      <c r="AV1944" s="4"/>
    </row>
    <row r="1945" spans="4:48" x14ac:dyDescent="0.3">
      <c r="D1945" s="5"/>
      <c r="E1945" s="5"/>
      <c r="F1945" s="20"/>
      <c r="G1945" s="20"/>
      <c r="H1945" s="5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4"/>
      <c r="T1945" s="4"/>
      <c r="U1945" s="4"/>
      <c r="V1945" s="4"/>
      <c r="W1945" s="4"/>
      <c r="X1945" s="4"/>
      <c r="Y1945" s="4"/>
      <c r="Z1945" s="4"/>
      <c r="AA1945" s="4"/>
      <c r="AB1945" s="4"/>
      <c r="AC1945" s="4"/>
      <c r="AD1945" s="4"/>
      <c r="AE1945" s="4"/>
      <c r="AF1945" s="4"/>
      <c r="AG1945" s="4"/>
      <c r="AH1945" s="4"/>
      <c r="AI1945" s="4"/>
      <c r="AJ1945" s="4"/>
      <c r="AK1945" s="4"/>
      <c r="AL1945" s="4"/>
      <c r="AM1945" s="4"/>
      <c r="AN1945" s="4"/>
      <c r="AO1945" s="4"/>
      <c r="AP1945" s="4"/>
      <c r="AQ1945" s="4"/>
      <c r="AR1945" s="4"/>
      <c r="AS1945" s="4"/>
      <c r="AT1945" s="4"/>
      <c r="AU1945" s="4"/>
      <c r="AV1945" s="4"/>
    </row>
    <row r="1946" spans="4:48" x14ac:dyDescent="0.3">
      <c r="D1946" s="5"/>
      <c r="E1946" s="5"/>
      <c r="F1946" s="20"/>
      <c r="G1946" s="20"/>
      <c r="H1946" s="5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4"/>
      <c r="T1946" s="4"/>
      <c r="U1946" s="4"/>
      <c r="V1946" s="4"/>
      <c r="W1946" s="4"/>
      <c r="X1946" s="4"/>
      <c r="Y1946" s="4"/>
      <c r="Z1946" s="4"/>
      <c r="AA1946" s="4"/>
      <c r="AB1946" s="4"/>
      <c r="AC1946" s="4"/>
      <c r="AD1946" s="4"/>
      <c r="AE1946" s="4"/>
      <c r="AF1946" s="4"/>
      <c r="AG1946" s="4"/>
      <c r="AH1946" s="4"/>
      <c r="AI1946" s="4"/>
      <c r="AJ1946" s="4"/>
      <c r="AK1946" s="4"/>
      <c r="AL1946" s="4"/>
      <c r="AM1946" s="4"/>
      <c r="AN1946" s="4"/>
      <c r="AO1946" s="4"/>
      <c r="AP1946" s="4"/>
      <c r="AQ1946" s="4"/>
      <c r="AR1946" s="4"/>
      <c r="AS1946" s="4"/>
      <c r="AT1946" s="4"/>
      <c r="AU1946" s="4"/>
      <c r="AV1946" s="4"/>
    </row>
    <row r="1947" spans="4:48" x14ac:dyDescent="0.3">
      <c r="D1947" s="5"/>
      <c r="E1947" s="5"/>
      <c r="F1947" s="20"/>
      <c r="G1947" s="20"/>
      <c r="H1947" s="5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4"/>
      <c r="T1947" s="4"/>
      <c r="U1947" s="4"/>
      <c r="V1947" s="4"/>
      <c r="W1947" s="4"/>
      <c r="X1947" s="4"/>
      <c r="Y1947" s="4"/>
      <c r="Z1947" s="4"/>
      <c r="AA1947" s="4"/>
      <c r="AB1947" s="4"/>
      <c r="AC1947" s="4"/>
      <c r="AD1947" s="4"/>
      <c r="AE1947" s="4"/>
      <c r="AF1947" s="4"/>
      <c r="AG1947" s="4"/>
      <c r="AH1947" s="4"/>
      <c r="AI1947" s="4"/>
      <c r="AJ1947" s="4"/>
      <c r="AK1947" s="4"/>
      <c r="AL1947" s="4"/>
      <c r="AM1947" s="4"/>
      <c r="AN1947" s="4"/>
      <c r="AO1947" s="4"/>
      <c r="AP1947" s="4"/>
      <c r="AQ1947" s="4"/>
      <c r="AR1947" s="4"/>
      <c r="AS1947" s="4"/>
      <c r="AT1947" s="4"/>
      <c r="AU1947" s="4"/>
      <c r="AV1947" s="4"/>
    </row>
    <row r="1948" spans="4:48" x14ac:dyDescent="0.3">
      <c r="D1948" s="5"/>
      <c r="E1948" s="5"/>
      <c r="F1948" s="20"/>
      <c r="G1948" s="20"/>
      <c r="H1948" s="5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4"/>
      <c r="T1948" s="4"/>
      <c r="U1948" s="4"/>
      <c r="V1948" s="4"/>
      <c r="W1948" s="4"/>
      <c r="X1948" s="4"/>
      <c r="Y1948" s="4"/>
      <c r="Z1948" s="4"/>
      <c r="AA1948" s="4"/>
      <c r="AB1948" s="4"/>
      <c r="AC1948" s="4"/>
      <c r="AD1948" s="4"/>
      <c r="AE1948" s="4"/>
      <c r="AF1948" s="4"/>
      <c r="AG1948" s="4"/>
      <c r="AH1948" s="4"/>
      <c r="AI1948" s="4"/>
      <c r="AJ1948" s="4"/>
      <c r="AK1948" s="4"/>
      <c r="AL1948" s="4"/>
      <c r="AM1948" s="4"/>
      <c r="AN1948" s="4"/>
      <c r="AO1948" s="4"/>
      <c r="AP1948" s="4"/>
      <c r="AQ1948" s="4"/>
      <c r="AR1948" s="4"/>
      <c r="AS1948" s="4"/>
      <c r="AT1948" s="4"/>
      <c r="AU1948" s="4"/>
      <c r="AV1948" s="4"/>
    </row>
    <row r="1949" spans="4:48" x14ac:dyDescent="0.3">
      <c r="D1949" s="5"/>
      <c r="E1949" s="5"/>
      <c r="F1949" s="20"/>
      <c r="G1949" s="20"/>
      <c r="H1949" s="5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4"/>
      <c r="T1949" s="4"/>
      <c r="U1949" s="4"/>
      <c r="V1949" s="4"/>
      <c r="W1949" s="4"/>
      <c r="X1949" s="4"/>
      <c r="Y1949" s="4"/>
      <c r="Z1949" s="4"/>
      <c r="AA1949" s="4"/>
      <c r="AB1949" s="4"/>
      <c r="AC1949" s="4"/>
      <c r="AD1949" s="4"/>
      <c r="AE1949" s="4"/>
      <c r="AF1949" s="4"/>
      <c r="AG1949" s="4"/>
      <c r="AH1949" s="4"/>
      <c r="AI1949" s="4"/>
      <c r="AJ1949" s="4"/>
      <c r="AK1949" s="4"/>
      <c r="AL1949" s="4"/>
      <c r="AM1949" s="4"/>
      <c r="AN1949" s="4"/>
      <c r="AO1949" s="4"/>
      <c r="AP1949" s="4"/>
      <c r="AQ1949" s="4"/>
      <c r="AR1949" s="4"/>
      <c r="AS1949" s="4"/>
      <c r="AT1949" s="4"/>
      <c r="AU1949" s="4"/>
      <c r="AV1949" s="4"/>
    </row>
    <row r="1950" spans="4:48" x14ac:dyDescent="0.3">
      <c r="D1950" s="5"/>
      <c r="E1950" s="5"/>
      <c r="F1950" s="20"/>
      <c r="G1950" s="20"/>
      <c r="H1950" s="5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4"/>
      <c r="T1950" s="4"/>
      <c r="U1950" s="4"/>
      <c r="V1950" s="4"/>
      <c r="W1950" s="4"/>
      <c r="X1950" s="4"/>
      <c r="Y1950" s="4"/>
      <c r="Z1950" s="4"/>
      <c r="AA1950" s="4"/>
      <c r="AB1950" s="4"/>
      <c r="AC1950" s="4"/>
      <c r="AD1950" s="4"/>
      <c r="AE1950" s="4"/>
      <c r="AF1950" s="4"/>
      <c r="AG1950" s="4"/>
      <c r="AH1950" s="4"/>
      <c r="AI1950" s="4"/>
      <c r="AJ1950" s="4"/>
      <c r="AK1950" s="4"/>
      <c r="AL1950" s="4"/>
      <c r="AM1950" s="4"/>
      <c r="AN1950" s="4"/>
      <c r="AO1950" s="4"/>
      <c r="AP1950" s="4"/>
      <c r="AQ1950" s="4"/>
      <c r="AR1950" s="4"/>
      <c r="AS1950" s="4"/>
      <c r="AT1950" s="4"/>
      <c r="AU1950" s="4"/>
      <c r="AV1950" s="4"/>
    </row>
    <row r="1951" spans="4:48" x14ac:dyDescent="0.3">
      <c r="D1951" s="5"/>
      <c r="E1951" s="5"/>
      <c r="F1951" s="20"/>
      <c r="G1951" s="20"/>
      <c r="H1951" s="5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4"/>
      <c r="T1951" s="4"/>
      <c r="U1951" s="4"/>
      <c r="V1951" s="4"/>
      <c r="W1951" s="4"/>
      <c r="X1951" s="4"/>
      <c r="Y1951" s="4"/>
      <c r="Z1951" s="4"/>
      <c r="AA1951" s="4"/>
      <c r="AB1951" s="4"/>
      <c r="AC1951" s="4"/>
      <c r="AD1951" s="4"/>
      <c r="AE1951" s="4"/>
      <c r="AF1951" s="4"/>
      <c r="AG1951" s="4"/>
      <c r="AH1951" s="4"/>
      <c r="AI1951" s="4"/>
      <c r="AJ1951" s="4"/>
      <c r="AK1951" s="4"/>
      <c r="AL1951" s="4"/>
      <c r="AM1951" s="4"/>
      <c r="AN1951" s="4"/>
      <c r="AO1951" s="4"/>
      <c r="AP1951" s="4"/>
      <c r="AQ1951" s="4"/>
      <c r="AR1951" s="4"/>
      <c r="AS1951" s="4"/>
      <c r="AT1951" s="4"/>
      <c r="AU1951" s="4"/>
      <c r="AV1951" s="4"/>
    </row>
    <row r="1952" spans="4:48" x14ac:dyDescent="0.3">
      <c r="D1952" s="5"/>
      <c r="E1952" s="5"/>
      <c r="F1952" s="20"/>
      <c r="G1952" s="20"/>
      <c r="H1952" s="5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4"/>
      <c r="T1952" s="4"/>
      <c r="U1952" s="4"/>
      <c r="V1952" s="4"/>
      <c r="W1952" s="4"/>
      <c r="X1952" s="4"/>
      <c r="Y1952" s="4"/>
      <c r="Z1952" s="4"/>
      <c r="AA1952" s="4"/>
      <c r="AB1952" s="4"/>
      <c r="AC1952" s="4"/>
      <c r="AD1952" s="4"/>
      <c r="AE1952" s="4"/>
      <c r="AF1952" s="4"/>
      <c r="AG1952" s="4"/>
      <c r="AH1952" s="4"/>
      <c r="AI1952" s="4"/>
      <c r="AJ1952" s="4"/>
      <c r="AK1952" s="4"/>
      <c r="AL1952" s="4"/>
      <c r="AM1952" s="4"/>
      <c r="AN1952" s="4"/>
      <c r="AO1952" s="4"/>
      <c r="AP1952" s="4"/>
      <c r="AQ1952" s="4"/>
      <c r="AR1952" s="4"/>
      <c r="AS1952" s="4"/>
      <c r="AT1952" s="4"/>
      <c r="AU1952" s="4"/>
      <c r="AV1952" s="4"/>
    </row>
    <row r="1953" spans="4:48" x14ac:dyDescent="0.3">
      <c r="D1953" s="5"/>
      <c r="E1953" s="5"/>
      <c r="F1953" s="20"/>
      <c r="G1953" s="20"/>
      <c r="H1953" s="5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4"/>
      <c r="T1953" s="4"/>
      <c r="U1953" s="4"/>
      <c r="V1953" s="4"/>
      <c r="W1953" s="4"/>
      <c r="X1953" s="4"/>
      <c r="Y1953" s="4"/>
      <c r="Z1953" s="4"/>
      <c r="AA1953" s="4"/>
      <c r="AB1953" s="4"/>
      <c r="AC1953" s="4"/>
      <c r="AD1953" s="4"/>
      <c r="AE1953" s="4"/>
      <c r="AF1953" s="4"/>
      <c r="AG1953" s="4"/>
      <c r="AH1953" s="4"/>
      <c r="AI1953" s="4"/>
      <c r="AJ1953" s="4"/>
      <c r="AK1953" s="4"/>
      <c r="AL1953" s="4"/>
      <c r="AM1953" s="4"/>
      <c r="AN1953" s="4"/>
      <c r="AO1953" s="4"/>
      <c r="AP1953" s="4"/>
      <c r="AQ1953" s="4"/>
      <c r="AR1953" s="4"/>
      <c r="AS1953" s="4"/>
      <c r="AT1953" s="4"/>
      <c r="AU1953" s="4"/>
      <c r="AV1953" s="4"/>
    </row>
    <row r="1954" spans="4:48" x14ac:dyDescent="0.3">
      <c r="D1954" s="5"/>
      <c r="E1954" s="5"/>
      <c r="F1954" s="20"/>
      <c r="G1954" s="20"/>
      <c r="H1954" s="5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4"/>
      <c r="T1954" s="4"/>
      <c r="U1954" s="4"/>
      <c r="V1954" s="4"/>
      <c r="W1954" s="4"/>
      <c r="X1954" s="4"/>
      <c r="Y1954" s="4"/>
      <c r="Z1954" s="4"/>
      <c r="AA1954" s="4"/>
      <c r="AB1954" s="4"/>
      <c r="AC1954" s="4"/>
      <c r="AD1954" s="4"/>
      <c r="AE1954" s="4"/>
      <c r="AF1954" s="4"/>
      <c r="AG1954" s="4"/>
      <c r="AH1954" s="4"/>
      <c r="AI1954" s="4"/>
      <c r="AJ1954" s="4"/>
      <c r="AK1954" s="4"/>
      <c r="AL1954" s="4"/>
      <c r="AM1954" s="4"/>
      <c r="AN1954" s="4"/>
      <c r="AO1954" s="4"/>
      <c r="AP1954" s="4"/>
      <c r="AQ1954" s="4"/>
      <c r="AR1954" s="4"/>
      <c r="AS1954" s="4"/>
      <c r="AT1954" s="4"/>
      <c r="AU1954" s="4"/>
      <c r="AV1954" s="4"/>
    </row>
    <row r="1955" spans="4:48" x14ac:dyDescent="0.3">
      <c r="D1955" s="5"/>
      <c r="E1955" s="5"/>
      <c r="F1955" s="20"/>
      <c r="G1955" s="20"/>
      <c r="H1955" s="5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4"/>
      <c r="T1955" s="4"/>
      <c r="U1955" s="4"/>
      <c r="V1955" s="4"/>
      <c r="W1955" s="4"/>
      <c r="X1955" s="4"/>
      <c r="Y1955" s="4"/>
      <c r="Z1955" s="4"/>
      <c r="AA1955" s="4"/>
      <c r="AB1955" s="4"/>
      <c r="AC1955" s="4"/>
      <c r="AD1955" s="4"/>
      <c r="AE1955" s="4"/>
      <c r="AF1955" s="4"/>
      <c r="AG1955" s="4"/>
      <c r="AH1955" s="4"/>
      <c r="AI1955" s="4"/>
      <c r="AJ1955" s="4"/>
      <c r="AK1955" s="4"/>
      <c r="AL1955" s="4"/>
      <c r="AM1955" s="4"/>
      <c r="AN1955" s="4"/>
      <c r="AO1955" s="4"/>
      <c r="AP1955" s="4"/>
      <c r="AQ1955" s="4"/>
      <c r="AR1955" s="4"/>
      <c r="AS1955" s="4"/>
      <c r="AT1955" s="4"/>
      <c r="AU1955" s="4"/>
      <c r="AV1955" s="4"/>
    </row>
    <row r="1956" spans="4:48" x14ac:dyDescent="0.3">
      <c r="D1956" s="5"/>
      <c r="E1956" s="5"/>
      <c r="F1956" s="20"/>
      <c r="G1956" s="20"/>
      <c r="H1956" s="5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4"/>
      <c r="T1956" s="4"/>
      <c r="U1956" s="4"/>
      <c r="V1956" s="4"/>
      <c r="W1956" s="4"/>
      <c r="X1956" s="4"/>
      <c r="Y1956" s="4"/>
      <c r="Z1956" s="4"/>
      <c r="AA1956" s="4"/>
      <c r="AB1956" s="4"/>
      <c r="AC1956" s="4"/>
      <c r="AD1956" s="4"/>
      <c r="AE1956" s="4"/>
      <c r="AF1956" s="4"/>
      <c r="AG1956" s="4"/>
      <c r="AH1956" s="4"/>
      <c r="AI1956" s="4"/>
      <c r="AJ1956" s="4"/>
      <c r="AK1956" s="4"/>
      <c r="AL1956" s="4"/>
      <c r="AM1956" s="4"/>
      <c r="AN1956" s="4"/>
      <c r="AO1956" s="4"/>
      <c r="AP1956" s="4"/>
      <c r="AQ1956" s="4"/>
      <c r="AR1956" s="4"/>
      <c r="AS1956" s="4"/>
      <c r="AT1956" s="4"/>
      <c r="AU1956" s="4"/>
      <c r="AV1956" s="4"/>
    </row>
    <row r="1957" spans="4:48" x14ac:dyDescent="0.3">
      <c r="D1957" s="5"/>
      <c r="E1957" s="5"/>
      <c r="F1957" s="20"/>
      <c r="G1957" s="20"/>
      <c r="H1957" s="5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4"/>
      <c r="T1957" s="4"/>
      <c r="U1957" s="4"/>
      <c r="V1957" s="4"/>
      <c r="W1957" s="4"/>
      <c r="X1957" s="4"/>
      <c r="Y1957" s="4"/>
      <c r="Z1957" s="4"/>
      <c r="AA1957" s="4"/>
      <c r="AB1957" s="4"/>
      <c r="AC1957" s="4"/>
      <c r="AD1957" s="4"/>
      <c r="AE1957" s="4"/>
      <c r="AF1957" s="4"/>
      <c r="AG1957" s="4"/>
      <c r="AH1957" s="4"/>
      <c r="AI1957" s="4"/>
      <c r="AJ1957" s="4"/>
      <c r="AK1957" s="4"/>
      <c r="AL1957" s="4"/>
      <c r="AM1957" s="4"/>
      <c r="AN1957" s="4"/>
      <c r="AO1957" s="4"/>
      <c r="AP1957" s="4"/>
      <c r="AQ1957" s="4"/>
      <c r="AR1957" s="4"/>
      <c r="AS1957" s="4"/>
      <c r="AT1957" s="4"/>
      <c r="AU1957" s="4"/>
      <c r="AV1957" s="4"/>
    </row>
    <row r="1958" spans="4:48" x14ac:dyDescent="0.3">
      <c r="D1958" s="5"/>
      <c r="E1958" s="5"/>
      <c r="F1958" s="20"/>
      <c r="G1958" s="20"/>
      <c r="H1958" s="5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4"/>
      <c r="T1958" s="4"/>
      <c r="U1958" s="4"/>
      <c r="V1958" s="4"/>
      <c r="W1958" s="4"/>
      <c r="X1958" s="4"/>
      <c r="Y1958" s="4"/>
      <c r="Z1958" s="4"/>
      <c r="AA1958" s="4"/>
      <c r="AB1958" s="4"/>
      <c r="AC1958" s="4"/>
      <c r="AD1958" s="4"/>
      <c r="AE1958" s="4"/>
      <c r="AF1958" s="4"/>
      <c r="AG1958" s="4"/>
      <c r="AH1958" s="4"/>
      <c r="AI1958" s="4"/>
      <c r="AJ1958" s="4"/>
      <c r="AK1958" s="4"/>
      <c r="AL1958" s="4"/>
      <c r="AM1958" s="4"/>
      <c r="AN1958" s="4"/>
      <c r="AO1958" s="4"/>
      <c r="AP1958" s="4"/>
      <c r="AQ1958" s="4"/>
      <c r="AR1958" s="4"/>
      <c r="AS1958" s="4"/>
      <c r="AT1958" s="4"/>
      <c r="AU1958" s="4"/>
      <c r="AV1958" s="4"/>
    </row>
    <row r="1959" spans="4:48" x14ac:dyDescent="0.3">
      <c r="D1959" s="5"/>
      <c r="E1959" s="5"/>
      <c r="F1959" s="20"/>
      <c r="G1959" s="20"/>
      <c r="H1959" s="5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4"/>
      <c r="T1959" s="4"/>
      <c r="U1959" s="4"/>
      <c r="V1959" s="4"/>
      <c r="W1959" s="4"/>
      <c r="X1959" s="4"/>
      <c r="Y1959" s="4"/>
      <c r="Z1959" s="4"/>
      <c r="AA1959" s="4"/>
      <c r="AB1959" s="4"/>
      <c r="AC1959" s="4"/>
      <c r="AD1959" s="4"/>
      <c r="AE1959" s="4"/>
      <c r="AF1959" s="4"/>
      <c r="AG1959" s="4"/>
      <c r="AH1959" s="4"/>
      <c r="AI1959" s="4"/>
      <c r="AJ1959" s="4"/>
      <c r="AK1959" s="4"/>
      <c r="AL1959" s="4"/>
      <c r="AM1959" s="4"/>
      <c r="AN1959" s="4"/>
      <c r="AO1959" s="4"/>
      <c r="AP1959" s="4"/>
      <c r="AQ1959" s="4"/>
      <c r="AR1959" s="4"/>
      <c r="AS1959" s="4"/>
      <c r="AT1959" s="4"/>
      <c r="AU1959" s="4"/>
      <c r="AV1959" s="4"/>
    </row>
    <row r="1960" spans="4:48" x14ac:dyDescent="0.3">
      <c r="D1960" s="5"/>
      <c r="E1960" s="5"/>
      <c r="F1960" s="20"/>
      <c r="G1960" s="20"/>
      <c r="H1960" s="5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4"/>
      <c r="T1960" s="4"/>
      <c r="U1960" s="4"/>
      <c r="V1960" s="4"/>
      <c r="W1960" s="4"/>
      <c r="X1960" s="4"/>
      <c r="Y1960" s="4"/>
      <c r="Z1960" s="4"/>
      <c r="AA1960" s="4"/>
      <c r="AB1960" s="4"/>
      <c r="AC1960" s="4"/>
      <c r="AD1960" s="4"/>
      <c r="AE1960" s="4"/>
      <c r="AF1960" s="4"/>
      <c r="AG1960" s="4"/>
      <c r="AH1960" s="4"/>
      <c r="AI1960" s="4"/>
      <c r="AJ1960" s="4"/>
      <c r="AK1960" s="4"/>
      <c r="AL1960" s="4"/>
      <c r="AM1960" s="4"/>
      <c r="AN1960" s="4"/>
      <c r="AO1960" s="4"/>
      <c r="AP1960" s="4"/>
      <c r="AQ1960" s="4"/>
      <c r="AR1960" s="4"/>
      <c r="AS1960" s="4"/>
      <c r="AT1960" s="4"/>
      <c r="AU1960" s="4"/>
      <c r="AV1960" s="4"/>
    </row>
    <row r="1961" spans="4:48" x14ac:dyDescent="0.3">
      <c r="D1961" s="5"/>
      <c r="E1961" s="5"/>
      <c r="F1961" s="20"/>
      <c r="G1961" s="20"/>
      <c r="H1961" s="5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4"/>
      <c r="T1961" s="4"/>
      <c r="U1961" s="4"/>
      <c r="V1961" s="4"/>
      <c r="W1961" s="4"/>
      <c r="X1961" s="4"/>
      <c r="Y1961" s="4"/>
      <c r="Z1961" s="4"/>
      <c r="AA1961" s="4"/>
      <c r="AB1961" s="4"/>
      <c r="AC1961" s="4"/>
      <c r="AD1961" s="4"/>
      <c r="AE1961" s="4"/>
      <c r="AF1961" s="4"/>
      <c r="AG1961" s="4"/>
      <c r="AH1961" s="4"/>
      <c r="AI1961" s="4"/>
      <c r="AJ1961" s="4"/>
      <c r="AK1961" s="4"/>
      <c r="AL1961" s="4"/>
      <c r="AM1961" s="4"/>
      <c r="AN1961" s="4"/>
      <c r="AO1961" s="4"/>
      <c r="AP1961" s="4"/>
      <c r="AQ1961" s="4"/>
      <c r="AR1961" s="4"/>
      <c r="AS1961" s="4"/>
      <c r="AT1961" s="4"/>
      <c r="AU1961" s="4"/>
      <c r="AV1961" s="4"/>
    </row>
    <row r="1962" spans="4:48" x14ac:dyDescent="0.3">
      <c r="D1962" s="5"/>
      <c r="E1962" s="5"/>
      <c r="F1962" s="20"/>
      <c r="G1962" s="20"/>
      <c r="H1962" s="5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  <c r="AD1962" s="4"/>
      <c r="AE1962" s="4"/>
      <c r="AF1962" s="4"/>
      <c r="AG1962" s="4"/>
      <c r="AH1962" s="4"/>
      <c r="AI1962" s="4"/>
      <c r="AJ1962" s="4"/>
      <c r="AK1962" s="4"/>
      <c r="AL1962" s="4"/>
      <c r="AM1962" s="4"/>
      <c r="AN1962" s="4"/>
      <c r="AO1962" s="4"/>
      <c r="AP1962" s="4"/>
      <c r="AQ1962" s="4"/>
      <c r="AR1962" s="4"/>
      <c r="AS1962" s="4"/>
      <c r="AT1962" s="4"/>
      <c r="AU1962" s="4"/>
      <c r="AV1962" s="4"/>
    </row>
    <row r="1963" spans="4:48" x14ac:dyDescent="0.3">
      <c r="D1963" s="5"/>
      <c r="E1963" s="5"/>
      <c r="F1963" s="20"/>
      <c r="G1963" s="20"/>
      <c r="H1963" s="5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4"/>
      <c r="T1963" s="4"/>
      <c r="U1963" s="4"/>
      <c r="V1963" s="4"/>
      <c r="W1963" s="4"/>
      <c r="X1963" s="4"/>
      <c r="Y1963" s="4"/>
      <c r="Z1963" s="4"/>
      <c r="AA1963" s="4"/>
      <c r="AB1963" s="4"/>
      <c r="AC1963" s="4"/>
      <c r="AD1963" s="4"/>
      <c r="AE1963" s="4"/>
      <c r="AF1963" s="4"/>
      <c r="AG1963" s="4"/>
      <c r="AH1963" s="4"/>
      <c r="AI1963" s="4"/>
      <c r="AJ1963" s="4"/>
      <c r="AK1963" s="4"/>
      <c r="AL1963" s="4"/>
      <c r="AM1963" s="4"/>
      <c r="AN1963" s="4"/>
      <c r="AO1963" s="4"/>
      <c r="AP1963" s="4"/>
      <c r="AQ1963" s="4"/>
      <c r="AR1963" s="4"/>
      <c r="AS1963" s="4"/>
      <c r="AT1963" s="4"/>
      <c r="AU1963" s="4"/>
      <c r="AV1963" s="4"/>
    </row>
    <row r="1964" spans="4:48" x14ac:dyDescent="0.3">
      <c r="D1964" s="5"/>
      <c r="E1964" s="5"/>
      <c r="F1964" s="20"/>
      <c r="G1964" s="20"/>
      <c r="H1964" s="5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4"/>
      <c r="T1964" s="4"/>
      <c r="U1964" s="4"/>
      <c r="V1964" s="4"/>
      <c r="W1964" s="4"/>
      <c r="X1964" s="4"/>
      <c r="Y1964" s="4"/>
      <c r="Z1964" s="4"/>
      <c r="AA1964" s="4"/>
      <c r="AB1964" s="4"/>
      <c r="AC1964" s="4"/>
      <c r="AD1964" s="4"/>
      <c r="AE1964" s="4"/>
      <c r="AF1964" s="4"/>
      <c r="AG1964" s="4"/>
      <c r="AH1964" s="4"/>
      <c r="AI1964" s="4"/>
      <c r="AJ1964" s="4"/>
      <c r="AK1964" s="4"/>
      <c r="AL1964" s="4"/>
      <c r="AM1964" s="4"/>
      <c r="AN1964" s="4"/>
      <c r="AO1964" s="4"/>
      <c r="AP1964" s="4"/>
      <c r="AQ1964" s="4"/>
      <c r="AR1964" s="4"/>
      <c r="AS1964" s="4"/>
      <c r="AT1964" s="4"/>
      <c r="AU1964" s="4"/>
      <c r="AV1964" s="4"/>
    </row>
    <row r="1965" spans="4:48" x14ac:dyDescent="0.3">
      <c r="D1965" s="5"/>
      <c r="E1965" s="5"/>
      <c r="F1965" s="20"/>
      <c r="G1965" s="20"/>
      <c r="H1965" s="5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4"/>
      <c r="T1965" s="4"/>
      <c r="U1965" s="4"/>
      <c r="V1965" s="4"/>
      <c r="W1965" s="4"/>
      <c r="X1965" s="4"/>
      <c r="Y1965" s="4"/>
      <c r="Z1965" s="4"/>
      <c r="AA1965" s="4"/>
      <c r="AB1965" s="4"/>
      <c r="AC1965" s="4"/>
      <c r="AD1965" s="4"/>
      <c r="AE1965" s="4"/>
      <c r="AF1965" s="4"/>
      <c r="AG1965" s="4"/>
      <c r="AH1965" s="4"/>
      <c r="AI1965" s="4"/>
      <c r="AJ1965" s="4"/>
      <c r="AK1965" s="4"/>
      <c r="AL1965" s="4"/>
      <c r="AM1965" s="4"/>
      <c r="AN1965" s="4"/>
      <c r="AO1965" s="4"/>
      <c r="AP1965" s="4"/>
      <c r="AQ1965" s="4"/>
      <c r="AR1965" s="4"/>
      <c r="AS1965" s="4"/>
      <c r="AT1965" s="4"/>
      <c r="AU1965" s="4"/>
      <c r="AV1965" s="4"/>
    </row>
    <row r="1966" spans="4:48" x14ac:dyDescent="0.3">
      <c r="D1966" s="5"/>
      <c r="E1966" s="5"/>
      <c r="F1966" s="20"/>
      <c r="G1966" s="20"/>
      <c r="H1966" s="5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4"/>
      <c r="T1966" s="4"/>
      <c r="U1966" s="4"/>
      <c r="V1966" s="4"/>
      <c r="W1966" s="4"/>
      <c r="X1966" s="4"/>
      <c r="Y1966" s="4"/>
      <c r="Z1966" s="4"/>
      <c r="AA1966" s="4"/>
      <c r="AB1966" s="4"/>
      <c r="AC1966" s="4"/>
      <c r="AD1966" s="4"/>
      <c r="AE1966" s="4"/>
      <c r="AF1966" s="4"/>
      <c r="AG1966" s="4"/>
      <c r="AH1966" s="4"/>
      <c r="AI1966" s="4"/>
      <c r="AJ1966" s="4"/>
      <c r="AK1966" s="4"/>
      <c r="AL1966" s="4"/>
      <c r="AM1966" s="4"/>
      <c r="AN1966" s="4"/>
      <c r="AO1966" s="4"/>
      <c r="AP1966" s="4"/>
      <c r="AQ1966" s="4"/>
      <c r="AR1966" s="4"/>
      <c r="AS1966" s="4"/>
      <c r="AT1966" s="4"/>
      <c r="AU1966" s="4"/>
      <c r="AV1966" s="4"/>
    </row>
    <row r="1967" spans="4:48" x14ac:dyDescent="0.3">
      <c r="D1967" s="5"/>
      <c r="E1967" s="5"/>
      <c r="F1967" s="20"/>
      <c r="G1967" s="20"/>
      <c r="H1967" s="5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4"/>
      <c r="T1967" s="4"/>
      <c r="U1967" s="4"/>
      <c r="V1967" s="4"/>
      <c r="W1967" s="4"/>
      <c r="X1967" s="4"/>
      <c r="Y1967" s="4"/>
      <c r="Z1967" s="4"/>
      <c r="AA1967" s="4"/>
      <c r="AB1967" s="4"/>
      <c r="AC1967" s="4"/>
      <c r="AD1967" s="4"/>
      <c r="AE1967" s="4"/>
      <c r="AF1967" s="4"/>
      <c r="AG1967" s="4"/>
      <c r="AH1967" s="4"/>
      <c r="AI1967" s="4"/>
      <c r="AJ1967" s="4"/>
      <c r="AK1967" s="4"/>
      <c r="AL1967" s="4"/>
      <c r="AM1967" s="4"/>
      <c r="AN1967" s="4"/>
      <c r="AO1967" s="4"/>
      <c r="AP1967" s="4"/>
      <c r="AQ1967" s="4"/>
      <c r="AR1967" s="4"/>
      <c r="AS1967" s="4"/>
      <c r="AT1967" s="4"/>
      <c r="AU1967" s="4"/>
      <c r="AV1967" s="4"/>
    </row>
    <row r="1968" spans="4:48" x14ac:dyDescent="0.3">
      <c r="D1968" s="5"/>
      <c r="E1968" s="5"/>
      <c r="F1968" s="20"/>
      <c r="G1968" s="20"/>
      <c r="H1968" s="5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4"/>
      <c r="T1968" s="4"/>
      <c r="U1968" s="4"/>
      <c r="V1968" s="4"/>
      <c r="W1968" s="4"/>
      <c r="X1968" s="4"/>
      <c r="Y1968" s="4"/>
      <c r="Z1968" s="4"/>
      <c r="AA1968" s="4"/>
      <c r="AB1968" s="4"/>
      <c r="AC1968" s="4"/>
      <c r="AD1968" s="4"/>
      <c r="AE1968" s="4"/>
      <c r="AF1968" s="4"/>
      <c r="AG1968" s="4"/>
      <c r="AH1968" s="4"/>
      <c r="AI1968" s="4"/>
      <c r="AJ1968" s="4"/>
      <c r="AK1968" s="4"/>
      <c r="AL1968" s="4"/>
      <c r="AM1968" s="4"/>
      <c r="AN1968" s="4"/>
      <c r="AO1968" s="4"/>
      <c r="AP1968" s="4"/>
      <c r="AQ1968" s="4"/>
      <c r="AR1968" s="4"/>
      <c r="AS1968" s="4"/>
      <c r="AT1968" s="4"/>
      <c r="AU1968" s="4"/>
      <c r="AV1968" s="4"/>
    </row>
    <row r="1969" spans="4:48" x14ac:dyDescent="0.3">
      <c r="D1969" s="5"/>
      <c r="E1969" s="5"/>
      <c r="F1969" s="20"/>
      <c r="G1969" s="20"/>
      <c r="H1969" s="5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4"/>
      <c r="T1969" s="4"/>
      <c r="U1969" s="4"/>
      <c r="V1969" s="4"/>
      <c r="W1969" s="4"/>
      <c r="X1969" s="4"/>
      <c r="Y1969" s="4"/>
      <c r="Z1969" s="4"/>
      <c r="AA1969" s="4"/>
      <c r="AB1969" s="4"/>
      <c r="AC1969" s="4"/>
      <c r="AD1969" s="4"/>
      <c r="AE1969" s="4"/>
      <c r="AF1969" s="4"/>
      <c r="AG1969" s="4"/>
      <c r="AH1969" s="4"/>
      <c r="AI1969" s="4"/>
      <c r="AJ1969" s="4"/>
      <c r="AK1969" s="4"/>
      <c r="AL1969" s="4"/>
      <c r="AM1969" s="4"/>
      <c r="AN1969" s="4"/>
      <c r="AO1969" s="4"/>
      <c r="AP1969" s="4"/>
      <c r="AQ1969" s="4"/>
      <c r="AR1969" s="4"/>
      <c r="AS1969" s="4"/>
      <c r="AT1969" s="4"/>
      <c r="AU1969" s="4"/>
      <c r="AV1969" s="4"/>
    </row>
    <row r="1970" spans="4:48" x14ac:dyDescent="0.3">
      <c r="D1970" s="5"/>
      <c r="E1970" s="5"/>
      <c r="F1970" s="20"/>
      <c r="G1970" s="20"/>
      <c r="H1970" s="5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4"/>
      <c r="T1970" s="4"/>
      <c r="U1970" s="4"/>
      <c r="V1970" s="4"/>
      <c r="W1970" s="4"/>
      <c r="X1970" s="4"/>
      <c r="Y1970" s="4"/>
      <c r="Z1970" s="4"/>
      <c r="AA1970" s="4"/>
      <c r="AB1970" s="4"/>
      <c r="AC1970" s="4"/>
      <c r="AD1970" s="4"/>
      <c r="AE1970" s="4"/>
      <c r="AF1970" s="4"/>
      <c r="AG1970" s="4"/>
      <c r="AH1970" s="4"/>
      <c r="AI1970" s="4"/>
      <c r="AJ1970" s="4"/>
      <c r="AK1970" s="4"/>
      <c r="AL1970" s="4"/>
      <c r="AM1970" s="4"/>
      <c r="AN1970" s="4"/>
      <c r="AO1970" s="4"/>
      <c r="AP1970" s="4"/>
      <c r="AQ1970" s="4"/>
      <c r="AR1970" s="4"/>
      <c r="AS1970" s="4"/>
      <c r="AT1970" s="4"/>
      <c r="AU1970" s="4"/>
      <c r="AV1970" s="4"/>
    </row>
    <row r="1971" spans="4:48" x14ac:dyDescent="0.3">
      <c r="D1971" s="5"/>
      <c r="E1971" s="5"/>
      <c r="F1971" s="20"/>
      <c r="G1971" s="20"/>
      <c r="H1971" s="5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4"/>
      <c r="T1971" s="4"/>
      <c r="U1971" s="4"/>
      <c r="V1971" s="4"/>
      <c r="W1971" s="4"/>
      <c r="X1971" s="4"/>
      <c r="Y1971" s="4"/>
      <c r="Z1971" s="4"/>
      <c r="AA1971" s="4"/>
      <c r="AB1971" s="4"/>
      <c r="AC1971" s="4"/>
      <c r="AD1971" s="4"/>
      <c r="AE1971" s="4"/>
      <c r="AF1971" s="4"/>
      <c r="AG1971" s="4"/>
      <c r="AH1971" s="4"/>
      <c r="AI1971" s="4"/>
      <c r="AJ1971" s="4"/>
      <c r="AK1971" s="4"/>
      <c r="AL1971" s="4"/>
      <c r="AM1971" s="4"/>
      <c r="AN1971" s="4"/>
      <c r="AO1971" s="4"/>
      <c r="AP1971" s="4"/>
      <c r="AQ1971" s="4"/>
      <c r="AR1971" s="4"/>
      <c r="AS1971" s="4"/>
      <c r="AT1971" s="4"/>
      <c r="AU1971" s="4"/>
      <c r="AV1971" s="4"/>
    </row>
    <row r="1972" spans="4:48" x14ac:dyDescent="0.3">
      <c r="D1972" s="5"/>
      <c r="E1972" s="5"/>
      <c r="F1972" s="20"/>
      <c r="G1972" s="20"/>
      <c r="H1972" s="5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4"/>
      <c r="T1972" s="4"/>
      <c r="U1972" s="4"/>
      <c r="V1972" s="4"/>
      <c r="W1972" s="4"/>
      <c r="X1972" s="4"/>
      <c r="Y1972" s="4"/>
      <c r="Z1972" s="4"/>
      <c r="AA1972" s="4"/>
      <c r="AB1972" s="4"/>
      <c r="AC1972" s="4"/>
      <c r="AD1972" s="4"/>
      <c r="AE1972" s="4"/>
      <c r="AF1972" s="4"/>
      <c r="AG1972" s="4"/>
      <c r="AH1972" s="4"/>
      <c r="AI1972" s="4"/>
      <c r="AJ1972" s="4"/>
      <c r="AK1972" s="4"/>
      <c r="AL1972" s="4"/>
      <c r="AM1972" s="4"/>
      <c r="AN1972" s="4"/>
      <c r="AO1972" s="4"/>
      <c r="AP1972" s="4"/>
      <c r="AQ1972" s="4"/>
      <c r="AR1972" s="4"/>
      <c r="AS1972" s="4"/>
      <c r="AT1972" s="4"/>
      <c r="AU1972" s="4"/>
      <c r="AV1972" s="4"/>
    </row>
    <row r="1973" spans="4:48" x14ac:dyDescent="0.3">
      <c r="D1973" s="5"/>
      <c r="E1973" s="5"/>
      <c r="F1973" s="20"/>
      <c r="G1973" s="20"/>
      <c r="H1973" s="5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4"/>
      <c r="T1973" s="4"/>
      <c r="U1973" s="4"/>
      <c r="V1973" s="4"/>
      <c r="W1973" s="4"/>
      <c r="X1973" s="4"/>
      <c r="Y1973" s="4"/>
      <c r="Z1973" s="4"/>
      <c r="AA1973" s="4"/>
      <c r="AB1973" s="4"/>
      <c r="AC1973" s="4"/>
      <c r="AD1973" s="4"/>
      <c r="AE1973" s="4"/>
      <c r="AF1973" s="4"/>
      <c r="AG1973" s="4"/>
      <c r="AH1973" s="4"/>
      <c r="AI1973" s="4"/>
      <c r="AJ1973" s="4"/>
      <c r="AK1973" s="4"/>
      <c r="AL1973" s="4"/>
      <c r="AM1973" s="4"/>
      <c r="AN1973" s="4"/>
      <c r="AO1973" s="4"/>
      <c r="AP1973" s="4"/>
      <c r="AQ1973" s="4"/>
      <c r="AR1973" s="4"/>
      <c r="AS1973" s="4"/>
      <c r="AT1973" s="4"/>
      <c r="AU1973" s="4"/>
      <c r="AV1973" s="4"/>
    </row>
    <row r="1974" spans="4:48" x14ac:dyDescent="0.3">
      <c r="D1974" s="5"/>
      <c r="E1974" s="5"/>
      <c r="F1974" s="20"/>
      <c r="G1974" s="20"/>
      <c r="H1974" s="5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4"/>
      <c r="T1974" s="4"/>
      <c r="U1974" s="4"/>
      <c r="V1974" s="4"/>
      <c r="W1974" s="4"/>
      <c r="X1974" s="4"/>
      <c r="Y1974" s="4"/>
      <c r="Z1974" s="4"/>
      <c r="AA1974" s="4"/>
      <c r="AB1974" s="4"/>
      <c r="AC1974" s="4"/>
      <c r="AD1974" s="4"/>
      <c r="AE1974" s="4"/>
      <c r="AF1974" s="4"/>
      <c r="AG1974" s="4"/>
      <c r="AH1974" s="4"/>
      <c r="AI1974" s="4"/>
      <c r="AJ1974" s="4"/>
      <c r="AK1974" s="4"/>
      <c r="AL1974" s="4"/>
      <c r="AM1974" s="4"/>
      <c r="AN1974" s="4"/>
      <c r="AO1974" s="4"/>
      <c r="AP1974" s="4"/>
      <c r="AQ1974" s="4"/>
      <c r="AR1974" s="4"/>
      <c r="AS1974" s="4"/>
      <c r="AT1974" s="4"/>
      <c r="AU1974" s="4"/>
      <c r="AV1974" s="4"/>
    </row>
    <row r="1975" spans="4:48" x14ac:dyDescent="0.3">
      <c r="D1975" s="5"/>
      <c r="E1975" s="5"/>
      <c r="F1975" s="20"/>
      <c r="G1975" s="20"/>
      <c r="H1975" s="5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4"/>
      <c r="T1975" s="4"/>
      <c r="U1975" s="4"/>
      <c r="V1975" s="4"/>
      <c r="W1975" s="4"/>
      <c r="X1975" s="4"/>
      <c r="Y1975" s="4"/>
      <c r="Z1975" s="4"/>
      <c r="AA1975" s="4"/>
      <c r="AB1975" s="4"/>
      <c r="AC1975" s="4"/>
      <c r="AD1975" s="4"/>
      <c r="AE1975" s="4"/>
      <c r="AF1975" s="4"/>
      <c r="AG1975" s="4"/>
      <c r="AH1975" s="4"/>
      <c r="AI1975" s="4"/>
      <c r="AJ1975" s="4"/>
      <c r="AK1975" s="4"/>
      <c r="AL1975" s="4"/>
      <c r="AM1975" s="4"/>
      <c r="AN1975" s="4"/>
      <c r="AO1975" s="4"/>
      <c r="AP1975" s="4"/>
      <c r="AQ1975" s="4"/>
      <c r="AR1975" s="4"/>
      <c r="AS1975" s="4"/>
      <c r="AT1975" s="4"/>
      <c r="AU1975" s="4"/>
      <c r="AV1975" s="4"/>
    </row>
    <row r="1976" spans="4:48" x14ac:dyDescent="0.3">
      <c r="D1976" s="5"/>
      <c r="E1976" s="5"/>
      <c r="F1976" s="20"/>
      <c r="G1976" s="20"/>
      <c r="H1976" s="5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4"/>
      <c r="T1976" s="4"/>
      <c r="U1976" s="4"/>
      <c r="V1976" s="4"/>
      <c r="W1976" s="4"/>
      <c r="X1976" s="4"/>
      <c r="Y1976" s="4"/>
      <c r="Z1976" s="4"/>
      <c r="AA1976" s="4"/>
      <c r="AB1976" s="4"/>
      <c r="AC1976" s="4"/>
      <c r="AD1976" s="4"/>
      <c r="AE1976" s="4"/>
      <c r="AF1976" s="4"/>
      <c r="AG1976" s="4"/>
      <c r="AH1976" s="4"/>
      <c r="AI1976" s="4"/>
      <c r="AJ1976" s="4"/>
      <c r="AK1976" s="4"/>
      <c r="AL1976" s="4"/>
      <c r="AM1976" s="4"/>
      <c r="AN1976" s="4"/>
      <c r="AO1976" s="4"/>
      <c r="AP1976" s="4"/>
      <c r="AQ1976" s="4"/>
      <c r="AR1976" s="4"/>
      <c r="AS1976" s="4"/>
      <c r="AT1976" s="4"/>
      <c r="AU1976" s="4"/>
      <c r="AV1976" s="4"/>
    </row>
    <row r="1977" spans="4:48" x14ac:dyDescent="0.3">
      <c r="D1977" s="5"/>
      <c r="E1977" s="5"/>
      <c r="F1977" s="20"/>
      <c r="G1977" s="20"/>
      <c r="H1977" s="5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4"/>
      <c r="T1977" s="4"/>
      <c r="U1977" s="4"/>
      <c r="V1977" s="4"/>
      <c r="W1977" s="4"/>
      <c r="X1977" s="4"/>
      <c r="Y1977" s="4"/>
      <c r="Z1977" s="4"/>
      <c r="AA1977" s="4"/>
      <c r="AB1977" s="4"/>
      <c r="AC1977" s="4"/>
      <c r="AD1977" s="4"/>
      <c r="AE1977" s="4"/>
      <c r="AF1977" s="4"/>
      <c r="AG1977" s="4"/>
      <c r="AH1977" s="4"/>
      <c r="AI1977" s="4"/>
      <c r="AJ1977" s="4"/>
      <c r="AK1977" s="4"/>
      <c r="AL1977" s="4"/>
      <c r="AM1977" s="4"/>
      <c r="AN1977" s="4"/>
      <c r="AO1977" s="4"/>
      <c r="AP1977" s="4"/>
      <c r="AQ1977" s="4"/>
      <c r="AR1977" s="4"/>
      <c r="AS1977" s="4"/>
      <c r="AT1977" s="4"/>
      <c r="AU1977" s="4"/>
      <c r="AV1977" s="4"/>
    </row>
    <row r="1978" spans="4:48" x14ac:dyDescent="0.3">
      <c r="D1978" s="5"/>
      <c r="E1978" s="5"/>
      <c r="F1978" s="20"/>
      <c r="G1978" s="20"/>
      <c r="H1978" s="5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4"/>
      <c r="T1978" s="4"/>
      <c r="U1978" s="4"/>
      <c r="V1978" s="4"/>
      <c r="W1978" s="4"/>
      <c r="X1978" s="4"/>
      <c r="Y1978" s="4"/>
      <c r="Z1978" s="4"/>
      <c r="AA1978" s="4"/>
      <c r="AB1978" s="4"/>
      <c r="AC1978" s="4"/>
      <c r="AD1978" s="4"/>
      <c r="AE1978" s="4"/>
      <c r="AF1978" s="4"/>
      <c r="AG1978" s="4"/>
      <c r="AH1978" s="4"/>
      <c r="AI1978" s="4"/>
      <c r="AJ1978" s="4"/>
      <c r="AK1978" s="4"/>
      <c r="AL1978" s="4"/>
      <c r="AM1978" s="4"/>
      <c r="AN1978" s="4"/>
      <c r="AO1978" s="4"/>
      <c r="AP1978" s="4"/>
      <c r="AQ1978" s="4"/>
      <c r="AR1978" s="4"/>
      <c r="AS1978" s="4"/>
      <c r="AT1978" s="4"/>
      <c r="AU1978" s="4"/>
      <c r="AV1978" s="4"/>
    </row>
    <row r="1979" spans="4:48" x14ac:dyDescent="0.3">
      <c r="D1979" s="5"/>
      <c r="E1979" s="5"/>
      <c r="F1979" s="20"/>
      <c r="G1979" s="20"/>
      <c r="H1979" s="5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4"/>
      <c r="T1979" s="4"/>
      <c r="U1979" s="4"/>
      <c r="V1979" s="4"/>
      <c r="W1979" s="4"/>
      <c r="X1979" s="4"/>
      <c r="Y1979" s="4"/>
      <c r="Z1979" s="4"/>
      <c r="AA1979" s="4"/>
      <c r="AB1979" s="4"/>
      <c r="AC1979" s="4"/>
      <c r="AD1979" s="4"/>
      <c r="AE1979" s="4"/>
      <c r="AF1979" s="4"/>
      <c r="AG1979" s="4"/>
      <c r="AH1979" s="4"/>
      <c r="AI1979" s="4"/>
      <c r="AJ1979" s="4"/>
      <c r="AK1979" s="4"/>
      <c r="AL1979" s="4"/>
      <c r="AM1979" s="4"/>
      <c r="AN1979" s="4"/>
      <c r="AO1979" s="4"/>
      <c r="AP1979" s="4"/>
      <c r="AQ1979" s="4"/>
      <c r="AR1979" s="4"/>
      <c r="AS1979" s="4"/>
      <c r="AT1979" s="4"/>
      <c r="AU1979" s="4"/>
      <c r="AV1979" s="4"/>
    </row>
    <row r="1980" spans="4:48" x14ac:dyDescent="0.3">
      <c r="D1980" s="5"/>
      <c r="E1980" s="5"/>
      <c r="F1980" s="20"/>
      <c r="G1980" s="20"/>
      <c r="H1980" s="5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4"/>
      <c r="T1980" s="4"/>
      <c r="U1980" s="4"/>
      <c r="V1980" s="4"/>
      <c r="W1980" s="4"/>
      <c r="X1980" s="4"/>
      <c r="Y1980" s="4"/>
      <c r="Z1980" s="4"/>
      <c r="AA1980" s="4"/>
      <c r="AB1980" s="4"/>
      <c r="AC1980" s="4"/>
      <c r="AD1980" s="4"/>
      <c r="AE1980" s="4"/>
      <c r="AF1980" s="4"/>
      <c r="AG1980" s="4"/>
      <c r="AH1980" s="4"/>
      <c r="AI1980" s="4"/>
      <c r="AJ1980" s="4"/>
      <c r="AK1980" s="4"/>
      <c r="AL1980" s="4"/>
      <c r="AM1980" s="4"/>
      <c r="AN1980" s="4"/>
      <c r="AO1980" s="4"/>
      <c r="AP1980" s="4"/>
      <c r="AQ1980" s="4"/>
      <c r="AR1980" s="4"/>
      <c r="AS1980" s="4"/>
      <c r="AT1980" s="4"/>
      <c r="AU1980" s="4"/>
      <c r="AV1980" s="4"/>
    </row>
    <row r="1981" spans="4:48" x14ac:dyDescent="0.3">
      <c r="D1981" s="5"/>
      <c r="E1981" s="5"/>
      <c r="F1981" s="20"/>
      <c r="G1981" s="20"/>
      <c r="H1981" s="5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4"/>
      <c r="T1981" s="4"/>
      <c r="U1981" s="4"/>
      <c r="V1981" s="4"/>
      <c r="W1981" s="4"/>
      <c r="X1981" s="4"/>
      <c r="Y1981" s="4"/>
      <c r="Z1981" s="4"/>
      <c r="AA1981" s="4"/>
      <c r="AB1981" s="4"/>
      <c r="AC1981" s="4"/>
      <c r="AD1981" s="4"/>
      <c r="AE1981" s="4"/>
      <c r="AF1981" s="4"/>
      <c r="AG1981" s="4"/>
      <c r="AH1981" s="4"/>
      <c r="AI1981" s="4"/>
      <c r="AJ1981" s="4"/>
      <c r="AK1981" s="4"/>
      <c r="AL1981" s="4"/>
      <c r="AM1981" s="4"/>
      <c r="AN1981" s="4"/>
      <c r="AO1981" s="4"/>
      <c r="AP1981" s="4"/>
      <c r="AQ1981" s="4"/>
      <c r="AR1981" s="4"/>
      <c r="AS1981" s="4"/>
      <c r="AT1981" s="4"/>
      <c r="AU1981" s="4"/>
      <c r="AV1981" s="4"/>
    </row>
    <row r="1982" spans="4:48" x14ac:dyDescent="0.3">
      <c r="D1982" s="5"/>
      <c r="E1982" s="5"/>
      <c r="F1982" s="20"/>
      <c r="G1982" s="20"/>
      <c r="H1982" s="5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4"/>
      <c r="T1982" s="4"/>
      <c r="U1982" s="4"/>
      <c r="V1982" s="4"/>
      <c r="W1982" s="4"/>
      <c r="X1982" s="4"/>
      <c r="Y1982" s="4"/>
      <c r="Z1982" s="4"/>
      <c r="AA1982" s="4"/>
      <c r="AB1982" s="4"/>
      <c r="AC1982" s="4"/>
      <c r="AD1982" s="4"/>
      <c r="AE1982" s="4"/>
      <c r="AF1982" s="4"/>
      <c r="AG1982" s="4"/>
      <c r="AH1982" s="4"/>
      <c r="AI1982" s="4"/>
      <c r="AJ1982" s="4"/>
      <c r="AK1982" s="4"/>
      <c r="AL1982" s="4"/>
      <c r="AM1982" s="4"/>
      <c r="AN1982" s="4"/>
      <c r="AO1982" s="4"/>
      <c r="AP1982" s="4"/>
      <c r="AQ1982" s="4"/>
      <c r="AR1982" s="4"/>
      <c r="AS1982" s="4"/>
      <c r="AT1982" s="4"/>
      <c r="AU1982" s="4"/>
      <c r="AV1982" s="4"/>
    </row>
    <row r="1983" spans="4:48" x14ac:dyDescent="0.3">
      <c r="D1983" s="5"/>
      <c r="E1983" s="5"/>
      <c r="F1983" s="20"/>
      <c r="G1983" s="20"/>
      <c r="H1983" s="5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4"/>
      <c r="T1983" s="4"/>
      <c r="U1983" s="4"/>
      <c r="V1983" s="4"/>
      <c r="W1983" s="4"/>
      <c r="X1983" s="4"/>
      <c r="Y1983" s="4"/>
      <c r="Z1983" s="4"/>
      <c r="AA1983" s="4"/>
      <c r="AB1983" s="4"/>
      <c r="AC1983" s="4"/>
      <c r="AD1983" s="4"/>
      <c r="AE1983" s="4"/>
      <c r="AF1983" s="4"/>
      <c r="AG1983" s="4"/>
      <c r="AH1983" s="4"/>
      <c r="AI1983" s="4"/>
      <c r="AJ1983" s="4"/>
      <c r="AK1983" s="4"/>
      <c r="AL1983" s="4"/>
      <c r="AM1983" s="4"/>
      <c r="AN1983" s="4"/>
      <c r="AO1983" s="4"/>
      <c r="AP1983" s="4"/>
      <c r="AQ1983" s="4"/>
      <c r="AR1983" s="4"/>
      <c r="AS1983" s="4"/>
      <c r="AT1983" s="4"/>
      <c r="AU1983" s="4"/>
      <c r="AV1983" s="4"/>
    </row>
    <row r="1984" spans="4:48" x14ac:dyDescent="0.3">
      <c r="D1984" s="5"/>
      <c r="E1984" s="5"/>
      <c r="F1984" s="20"/>
      <c r="G1984" s="20"/>
      <c r="H1984" s="5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4"/>
      <c r="T1984" s="4"/>
      <c r="U1984" s="4"/>
      <c r="V1984" s="4"/>
      <c r="W1984" s="4"/>
      <c r="X1984" s="4"/>
      <c r="Y1984" s="4"/>
      <c r="Z1984" s="4"/>
      <c r="AA1984" s="4"/>
      <c r="AB1984" s="4"/>
      <c r="AC1984" s="4"/>
      <c r="AD1984" s="4"/>
      <c r="AE1984" s="4"/>
      <c r="AF1984" s="4"/>
      <c r="AG1984" s="4"/>
      <c r="AH1984" s="4"/>
      <c r="AI1984" s="4"/>
      <c r="AJ1984" s="4"/>
      <c r="AK1984" s="4"/>
      <c r="AL1984" s="4"/>
      <c r="AM1984" s="4"/>
      <c r="AN1984" s="4"/>
      <c r="AO1984" s="4"/>
      <c r="AP1984" s="4"/>
      <c r="AQ1984" s="4"/>
      <c r="AR1984" s="4"/>
      <c r="AS1984" s="4"/>
      <c r="AT1984" s="4"/>
      <c r="AU1984" s="4"/>
      <c r="AV1984" s="4"/>
    </row>
    <row r="1985" spans="4:48" x14ac:dyDescent="0.3">
      <c r="D1985" s="5"/>
      <c r="E1985" s="5"/>
      <c r="F1985" s="20"/>
      <c r="G1985" s="20"/>
      <c r="H1985" s="5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4"/>
      <c r="T1985" s="4"/>
      <c r="U1985" s="4"/>
      <c r="V1985" s="4"/>
      <c r="W1985" s="4"/>
      <c r="X1985" s="4"/>
      <c r="Y1985" s="4"/>
      <c r="Z1985" s="4"/>
      <c r="AA1985" s="4"/>
      <c r="AB1985" s="4"/>
      <c r="AC1985" s="4"/>
      <c r="AD1985" s="4"/>
      <c r="AE1985" s="4"/>
      <c r="AF1985" s="4"/>
      <c r="AG1985" s="4"/>
      <c r="AH1985" s="4"/>
      <c r="AI1985" s="4"/>
      <c r="AJ1985" s="4"/>
      <c r="AK1985" s="4"/>
      <c r="AL1985" s="4"/>
      <c r="AM1985" s="4"/>
      <c r="AN1985" s="4"/>
      <c r="AO1985" s="4"/>
      <c r="AP1985" s="4"/>
      <c r="AQ1985" s="4"/>
      <c r="AR1985" s="4"/>
      <c r="AS1985" s="4"/>
      <c r="AT1985" s="4"/>
      <c r="AU1985" s="4"/>
      <c r="AV1985" s="4"/>
    </row>
    <row r="1986" spans="4:48" x14ac:dyDescent="0.3">
      <c r="D1986" s="5"/>
      <c r="E1986" s="5"/>
      <c r="F1986" s="20"/>
      <c r="G1986" s="20"/>
      <c r="H1986" s="5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4"/>
      <c r="T1986" s="4"/>
      <c r="U1986" s="4"/>
      <c r="V1986" s="4"/>
      <c r="W1986" s="4"/>
      <c r="X1986" s="4"/>
      <c r="Y1986" s="4"/>
      <c r="Z1986" s="4"/>
      <c r="AA1986" s="4"/>
      <c r="AB1986" s="4"/>
      <c r="AC1986" s="4"/>
      <c r="AD1986" s="4"/>
      <c r="AE1986" s="4"/>
      <c r="AF1986" s="4"/>
      <c r="AG1986" s="4"/>
      <c r="AH1986" s="4"/>
      <c r="AI1986" s="4"/>
      <c r="AJ1986" s="4"/>
      <c r="AK1986" s="4"/>
      <c r="AL1986" s="4"/>
      <c r="AM1986" s="4"/>
      <c r="AN1986" s="4"/>
      <c r="AO1986" s="4"/>
      <c r="AP1986" s="4"/>
      <c r="AQ1986" s="4"/>
      <c r="AR1986" s="4"/>
      <c r="AS1986" s="4"/>
      <c r="AT1986" s="4"/>
      <c r="AU1986" s="4"/>
      <c r="AV1986" s="4"/>
    </row>
    <row r="1987" spans="4:48" x14ac:dyDescent="0.3">
      <c r="D1987" s="5"/>
      <c r="E1987" s="5"/>
      <c r="F1987" s="20"/>
      <c r="G1987" s="20"/>
      <c r="H1987" s="5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4"/>
      <c r="T1987" s="4"/>
      <c r="U1987" s="4"/>
      <c r="V1987" s="4"/>
      <c r="W1987" s="4"/>
      <c r="X1987" s="4"/>
      <c r="Y1987" s="4"/>
      <c r="Z1987" s="4"/>
      <c r="AA1987" s="4"/>
      <c r="AB1987" s="4"/>
      <c r="AC1987" s="4"/>
      <c r="AD1987" s="4"/>
      <c r="AE1987" s="4"/>
      <c r="AF1987" s="4"/>
      <c r="AG1987" s="4"/>
      <c r="AH1987" s="4"/>
      <c r="AI1987" s="4"/>
      <c r="AJ1987" s="4"/>
      <c r="AK1987" s="4"/>
      <c r="AL1987" s="4"/>
      <c r="AM1987" s="4"/>
      <c r="AN1987" s="4"/>
      <c r="AO1987" s="4"/>
      <c r="AP1987" s="4"/>
      <c r="AQ1987" s="4"/>
      <c r="AR1987" s="4"/>
      <c r="AS1987" s="4"/>
      <c r="AT1987" s="4"/>
      <c r="AU1987" s="4"/>
      <c r="AV1987" s="4"/>
    </row>
    <row r="1988" spans="4:48" x14ac:dyDescent="0.3">
      <c r="D1988" s="5"/>
      <c r="E1988" s="5"/>
      <c r="F1988" s="20"/>
      <c r="G1988" s="20"/>
      <c r="H1988" s="5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4"/>
      <c r="T1988" s="4"/>
      <c r="U1988" s="4"/>
      <c r="V1988" s="4"/>
      <c r="W1988" s="4"/>
      <c r="X1988" s="4"/>
      <c r="Y1988" s="4"/>
      <c r="Z1988" s="4"/>
      <c r="AA1988" s="4"/>
      <c r="AB1988" s="4"/>
      <c r="AC1988" s="4"/>
      <c r="AD1988" s="4"/>
      <c r="AE1988" s="4"/>
      <c r="AF1988" s="4"/>
      <c r="AG1988" s="4"/>
      <c r="AH1988" s="4"/>
      <c r="AI1988" s="4"/>
      <c r="AJ1988" s="4"/>
      <c r="AK1988" s="4"/>
      <c r="AL1988" s="4"/>
      <c r="AM1988" s="4"/>
      <c r="AN1988" s="4"/>
      <c r="AO1988" s="4"/>
      <c r="AP1988" s="4"/>
      <c r="AQ1988" s="4"/>
      <c r="AR1988" s="4"/>
      <c r="AS1988" s="4"/>
      <c r="AT1988" s="4"/>
      <c r="AU1988" s="4"/>
      <c r="AV1988" s="4"/>
    </row>
    <row r="1989" spans="4:48" x14ac:dyDescent="0.3">
      <c r="D1989" s="5"/>
      <c r="E1989" s="5"/>
      <c r="F1989" s="20"/>
      <c r="G1989" s="20"/>
      <c r="H1989" s="5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4"/>
      <c r="T1989" s="4"/>
      <c r="U1989" s="4"/>
      <c r="V1989" s="4"/>
      <c r="W1989" s="4"/>
      <c r="X1989" s="4"/>
      <c r="Y1989" s="4"/>
      <c r="Z1989" s="4"/>
      <c r="AA1989" s="4"/>
      <c r="AB1989" s="4"/>
      <c r="AC1989" s="4"/>
      <c r="AD1989" s="4"/>
      <c r="AE1989" s="4"/>
      <c r="AF1989" s="4"/>
      <c r="AG1989" s="4"/>
      <c r="AH1989" s="4"/>
      <c r="AI1989" s="4"/>
      <c r="AJ1989" s="4"/>
      <c r="AK1989" s="4"/>
      <c r="AL1989" s="4"/>
      <c r="AM1989" s="4"/>
      <c r="AN1989" s="4"/>
      <c r="AO1989" s="4"/>
      <c r="AP1989" s="4"/>
      <c r="AQ1989" s="4"/>
      <c r="AR1989" s="4"/>
      <c r="AS1989" s="4"/>
      <c r="AT1989" s="4"/>
      <c r="AU1989" s="4"/>
      <c r="AV1989" s="4"/>
    </row>
    <row r="1990" spans="4:48" x14ac:dyDescent="0.3">
      <c r="D1990" s="5"/>
      <c r="E1990" s="5"/>
      <c r="F1990" s="20"/>
      <c r="G1990" s="20"/>
      <c r="H1990" s="5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4"/>
      <c r="T1990" s="4"/>
      <c r="U1990" s="4"/>
      <c r="V1990" s="4"/>
      <c r="W1990" s="4"/>
      <c r="X1990" s="4"/>
      <c r="Y1990" s="4"/>
      <c r="Z1990" s="4"/>
      <c r="AA1990" s="4"/>
      <c r="AB1990" s="4"/>
      <c r="AC1990" s="4"/>
      <c r="AD1990" s="4"/>
      <c r="AE1990" s="4"/>
      <c r="AF1990" s="4"/>
      <c r="AG1990" s="4"/>
      <c r="AH1990" s="4"/>
      <c r="AI1990" s="4"/>
      <c r="AJ1990" s="4"/>
      <c r="AK1990" s="4"/>
      <c r="AL1990" s="4"/>
      <c r="AM1990" s="4"/>
      <c r="AN1990" s="4"/>
      <c r="AO1990" s="4"/>
      <c r="AP1990" s="4"/>
      <c r="AQ1990" s="4"/>
      <c r="AR1990" s="4"/>
      <c r="AS1990" s="4"/>
      <c r="AT1990" s="4"/>
      <c r="AU1990" s="4"/>
      <c r="AV1990" s="4"/>
    </row>
    <row r="1991" spans="4:48" x14ac:dyDescent="0.3">
      <c r="D1991" s="5"/>
      <c r="E1991" s="5"/>
      <c r="F1991" s="20"/>
      <c r="G1991" s="20"/>
      <c r="H1991" s="5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4"/>
      <c r="T1991" s="4"/>
      <c r="U1991" s="4"/>
      <c r="V1991" s="4"/>
      <c r="W1991" s="4"/>
      <c r="X1991" s="4"/>
      <c r="Y1991" s="4"/>
      <c r="Z1991" s="4"/>
      <c r="AA1991" s="4"/>
      <c r="AB1991" s="4"/>
      <c r="AC1991" s="4"/>
      <c r="AD1991" s="4"/>
      <c r="AE1991" s="4"/>
      <c r="AF1991" s="4"/>
      <c r="AG1991" s="4"/>
      <c r="AH1991" s="4"/>
      <c r="AI1991" s="4"/>
      <c r="AJ1991" s="4"/>
      <c r="AK1991" s="4"/>
      <c r="AL1991" s="4"/>
      <c r="AM1991" s="4"/>
      <c r="AN1991" s="4"/>
      <c r="AO1991" s="4"/>
      <c r="AP1991" s="4"/>
      <c r="AQ1991" s="4"/>
      <c r="AR1991" s="4"/>
      <c r="AS1991" s="4"/>
      <c r="AT1991" s="4"/>
      <c r="AU1991" s="4"/>
      <c r="AV1991" s="4"/>
    </row>
    <row r="1992" spans="4:48" x14ac:dyDescent="0.3">
      <c r="D1992" s="5"/>
      <c r="E1992" s="5"/>
      <c r="F1992" s="20"/>
      <c r="G1992" s="20"/>
      <c r="H1992" s="5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4"/>
      <c r="T1992" s="4"/>
      <c r="U1992" s="4"/>
      <c r="V1992" s="4"/>
      <c r="W1992" s="4"/>
      <c r="X1992" s="4"/>
      <c r="Y1992" s="4"/>
      <c r="Z1992" s="4"/>
      <c r="AA1992" s="4"/>
      <c r="AB1992" s="4"/>
      <c r="AC1992" s="4"/>
      <c r="AD1992" s="4"/>
      <c r="AE1992" s="4"/>
      <c r="AF1992" s="4"/>
      <c r="AG1992" s="4"/>
      <c r="AH1992" s="4"/>
      <c r="AI1992" s="4"/>
      <c r="AJ1992" s="4"/>
      <c r="AK1992" s="4"/>
      <c r="AL1992" s="4"/>
      <c r="AM1992" s="4"/>
      <c r="AN1992" s="4"/>
      <c r="AO1992" s="4"/>
      <c r="AP1992" s="4"/>
      <c r="AQ1992" s="4"/>
      <c r="AR1992" s="4"/>
      <c r="AS1992" s="4"/>
      <c r="AT1992" s="4"/>
      <c r="AU1992" s="4"/>
      <c r="AV1992" s="4"/>
    </row>
    <row r="1993" spans="4:48" x14ac:dyDescent="0.3">
      <c r="D1993" s="5"/>
      <c r="E1993" s="5"/>
      <c r="F1993" s="20"/>
      <c r="G1993" s="20"/>
      <c r="H1993" s="5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4"/>
      <c r="T1993" s="4"/>
      <c r="U1993" s="4"/>
      <c r="V1993" s="4"/>
      <c r="W1993" s="4"/>
      <c r="X1993" s="4"/>
      <c r="Y1993" s="4"/>
      <c r="Z1993" s="4"/>
      <c r="AA1993" s="4"/>
      <c r="AB1993" s="4"/>
      <c r="AC1993" s="4"/>
      <c r="AD1993" s="4"/>
      <c r="AE1993" s="4"/>
      <c r="AF1993" s="4"/>
      <c r="AG1993" s="4"/>
      <c r="AH1993" s="4"/>
      <c r="AI1993" s="4"/>
      <c r="AJ1993" s="4"/>
      <c r="AK1993" s="4"/>
      <c r="AL1993" s="4"/>
      <c r="AM1993" s="4"/>
      <c r="AN1993" s="4"/>
      <c r="AO1993" s="4"/>
      <c r="AP1993" s="4"/>
      <c r="AQ1993" s="4"/>
      <c r="AR1993" s="4"/>
      <c r="AS1993" s="4"/>
      <c r="AT1993" s="4"/>
      <c r="AU1993" s="4"/>
      <c r="AV1993" s="4"/>
    </row>
    <row r="1994" spans="4:48" x14ac:dyDescent="0.3">
      <c r="D1994" s="5"/>
      <c r="E1994" s="5"/>
      <c r="F1994" s="20"/>
      <c r="G1994" s="20"/>
      <c r="H1994" s="5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4"/>
      <c r="T1994" s="4"/>
      <c r="U1994" s="4"/>
      <c r="V1994" s="4"/>
      <c r="W1994" s="4"/>
      <c r="X1994" s="4"/>
      <c r="Y1994" s="4"/>
      <c r="Z1994" s="4"/>
      <c r="AA1994" s="4"/>
      <c r="AB1994" s="4"/>
      <c r="AC1994" s="4"/>
      <c r="AD1994" s="4"/>
      <c r="AE1994" s="4"/>
      <c r="AF1994" s="4"/>
      <c r="AG1994" s="4"/>
      <c r="AH1994" s="4"/>
      <c r="AI1994" s="4"/>
      <c r="AJ1994" s="4"/>
      <c r="AK1994" s="4"/>
      <c r="AL1994" s="4"/>
      <c r="AM1994" s="4"/>
      <c r="AN1994" s="4"/>
      <c r="AO1994" s="4"/>
      <c r="AP1994" s="4"/>
      <c r="AQ1994" s="4"/>
      <c r="AR1994" s="4"/>
      <c r="AS1994" s="4"/>
      <c r="AT1994" s="4"/>
      <c r="AU1994" s="4"/>
      <c r="AV1994" s="4"/>
    </row>
    <row r="1995" spans="4:48" x14ac:dyDescent="0.3">
      <c r="D1995" s="5"/>
      <c r="E1995" s="5"/>
      <c r="F1995" s="20"/>
      <c r="G1995" s="20"/>
      <c r="H1995" s="5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4"/>
      <c r="T1995" s="4"/>
      <c r="U1995" s="4"/>
      <c r="V1995" s="4"/>
      <c r="W1995" s="4"/>
      <c r="X1995" s="4"/>
      <c r="Y1995" s="4"/>
      <c r="Z1995" s="4"/>
      <c r="AA1995" s="4"/>
      <c r="AB1995" s="4"/>
      <c r="AC1995" s="4"/>
      <c r="AD1995" s="4"/>
      <c r="AE1995" s="4"/>
      <c r="AF1995" s="4"/>
      <c r="AG1995" s="4"/>
      <c r="AH1995" s="4"/>
      <c r="AI1995" s="4"/>
      <c r="AJ1995" s="4"/>
      <c r="AK1995" s="4"/>
      <c r="AL1995" s="4"/>
      <c r="AM1995" s="4"/>
      <c r="AN1995" s="4"/>
      <c r="AO1995" s="4"/>
      <c r="AP1995" s="4"/>
      <c r="AQ1995" s="4"/>
      <c r="AR1995" s="4"/>
      <c r="AS1995" s="4"/>
      <c r="AT1995" s="4"/>
      <c r="AU1995" s="4"/>
      <c r="AV1995" s="4"/>
    </row>
    <row r="1996" spans="4:48" x14ac:dyDescent="0.3">
      <c r="D1996" s="5"/>
      <c r="E1996" s="5"/>
      <c r="F1996" s="20"/>
      <c r="G1996" s="20"/>
      <c r="H1996" s="5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4"/>
      <c r="T1996" s="4"/>
      <c r="U1996" s="4"/>
      <c r="V1996" s="4"/>
      <c r="W1996" s="4"/>
      <c r="X1996" s="4"/>
      <c r="Y1996" s="4"/>
      <c r="Z1996" s="4"/>
      <c r="AA1996" s="4"/>
      <c r="AB1996" s="4"/>
      <c r="AC1996" s="4"/>
      <c r="AD1996" s="4"/>
      <c r="AE1996" s="4"/>
      <c r="AF1996" s="4"/>
      <c r="AG1996" s="4"/>
      <c r="AH1996" s="4"/>
      <c r="AI1996" s="4"/>
      <c r="AJ1996" s="4"/>
      <c r="AK1996" s="4"/>
      <c r="AL1996" s="4"/>
      <c r="AM1996" s="4"/>
      <c r="AN1996" s="4"/>
      <c r="AO1996" s="4"/>
      <c r="AP1996" s="4"/>
      <c r="AQ1996" s="4"/>
      <c r="AR1996" s="4"/>
      <c r="AS1996" s="4"/>
      <c r="AT1996" s="4"/>
      <c r="AU1996" s="4"/>
      <c r="AV1996" s="4"/>
    </row>
    <row r="1997" spans="4:48" x14ac:dyDescent="0.3">
      <c r="D1997" s="5"/>
      <c r="E1997" s="5"/>
      <c r="F1997" s="20"/>
      <c r="G1997" s="20"/>
      <c r="H1997" s="5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4"/>
      <c r="T1997" s="4"/>
      <c r="U1997" s="4"/>
      <c r="V1997" s="4"/>
      <c r="W1997" s="4"/>
      <c r="X1997" s="4"/>
      <c r="Y1997" s="4"/>
      <c r="Z1997" s="4"/>
      <c r="AA1997" s="4"/>
      <c r="AB1997" s="4"/>
      <c r="AC1997" s="4"/>
      <c r="AD1997" s="4"/>
      <c r="AE1997" s="4"/>
      <c r="AF1997" s="4"/>
      <c r="AG1997" s="4"/>
      <c r="AH1997" s="4"/>
      <c r="AI1997" s="4"/>
      <c r="AJ1997" s="4"/>
      <c r="AK1997" s="4"/>
      <c r="AL1997" s="4"/>
      <c r="AM1997" s="4"/>
      <c r="AN1997" s="4"/>
      <c r="AO1997" s="4"/>
      <c r="AP1997" s="4"/>
      <c r="AQ1997" s="4"/>
      <c r="AR1997" s="4"/>
      <c r="AS1997" s="4"/>
      <c r="AT1997" s="4"/>
      <c r="AU1997" s="4"/>
      <c r="AV1997" s="4"/>
    </row>
    <row r="1998" spans="4:48" x14ac:dyDescent="0.3">
      <c r="D1998" s="5"/>
      <c r="E1998" s="5"/>
      <c r="F1998" s="20"/>
      <c r="G1998" s="20"/>
      <c r="H1998" s="5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4"/>
      <c r="T1998" s="4"/>
      <c r="U1998" s="4"/>
      <c r="V1998" s="4"/>
      <c r="W1998" s="4"/>
      <c r="X1998" s="4"/>
      <c r="Y1998" s="4"/>
      <c r="Z1998" s="4"/>
      <c r="AA1998" s="4"/>
      <c r="AB1998" s="4"/>
      <c r="AC1998" s="4"/>
      <c r="AD1998" s="4"/>
      <c r="AE1998" s="4"/>
      <c r="AF1998" s="4"/>
      <c r="AG1998" s="4"/>
      <c r="AH1998" s="4"/>
      <c r="AI1998" s="4"/>
      <c r="AJ1998" s="4"/>
      <c r="AK1998" s="4"/>
      <c r="AL1998" s="4"/>
      <c r="AM1998" s="4"/>
      <c r="AN1998" s="4"/>
      <c r="AO1998" s="4"/>
      <c r="AP1998" s="4"/>
      <c r="AQ1998" s="4"/>
      <c r="AR1998" s="4"/>
      <c r="AS1998" s="4"/>
      <c r="AT1998" s="4"/>
      <c r="AU1998" s="4"/>
      <c r="AV1998" s="4"/>
    </row>
    <row r="1999" spans="4:48" x14ac:dyDescent="0.3">
      <c r="D1999" s="5"/>
      <c r="E1999" s="5"/>
      <c r="F1999" s="20"/>
      <c r="G1999" s="20"/>
      <c r="H1999" s="5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4"/>
      <c r="T1999" s="4"/>
      <c r="U1999" s="4"/>
      <c r="V1999" s="4"/>
      <c r="W1999" s="4"/>
      <c r="X1999" s="4"/>
      <c r="Y1999" s="4"/>
      <c r="Z1999" s="4"/>
      <c r="AA1999" s="4"/>
      <c r="AB1999" s="4"/>
      <c r="AC1999" s="4"/>
      <c r="AD1999" s="4"/>
      <c r="AE1999" s="4"/>
      <c r="AF1999" s="4"/>
      <c r="AG1999" s="4"/>
      <c r="AH1999" s="4"/>
      <c r="AI1999" s="4"/>
      <c r="AJ1999" s="4"/>
      <c r="AK1999" s="4"/>
      <c r="AL1999" s="4"/>
      <c r="AM1999" s="4"/>
      <c r="AN1999" s="4"/>
      <c r="AO1999" s="4"/>
      <c r="AP1999" s="4"/>
      <c r="AQ1999" s="4"/>
      <c r="AR1999" s="4"/>
      <c r="AS1999" s="4"/>
      <c r="AT1999" s="4"/>
      <c r="AU1999" s="4"/>
      <c r="AV1999" s="4"/>
    </row>
    <row r="2000" spans="4:48" x14ac:dyDescent="0.3">
      <c r="D2000" s="5"/>
      <c r="E2000" s="5"/>
      <c r="F2000" s="20"/>
      <c r="G2000" s="20"/>
      <c r="H2000" s="5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4"/>
      <c r="T2000" s="4"/>
      <c r="U2000" s="4"/>
      <c r="V2000" s="4"/>
      <c r="W2000" s="4"/>
      <c r="X2000" s="4"/>
      <c r="Y2000" s="4"/>
      <c r="Z2000" s="4"/>
      <c r="AA2000" s="4"/>
      <c r="AB2000" s="4"/>
      <c r="AC2000" s="4"/>
      <c r="AD2000" s="4"/>
      <c r="AE2000" s="4"/>
      <c r="AF2000" s="4"/>
      <c r="AG2000" s="4"/>
      <c r="AH2000" s="4"/>
      <c r="AI2000" s="4"/>
      <c r="AJ2000" s="4"/>
      <c r="AK2000" s="4"/>
      <c r="AL2000" s="4"/>
      <c r="AM2000" s="4"/>
      <c r="AN2000" s="4"/>
      <c r="AO2000" s="4"/>
      <c r="AP2000" s="4"/>
      <c r="AQ2000" s="4"/>
      <c r="AR2000" s="4"/>
      <c r="AS2000" s="4"/>
      <c r="AT2000" s="4"/>
      <c r="AU2000" s="4"/>
      <c r="AV2000" s="4"/>
    </row>
    <row r="2001" spans="4:48" x14ac:dyDescent="0.3">
      <c r="D2001" s="5"/>
      <c r="E2001" s="5"/>
      <c r="F2001" s="20"/>
      <c r="G2001" s="20"/>
      <c r="H2001" s="5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4"/>
      <c r="T2001" s="4"/>
      <c r="U2001" s="4"/>
      <c r="V2001" s="4"/>
      <c r="W2001" s="4"/>
      <c r="X2001" s="4"/>
      <c r="Y2001" s="4"/>
      <c r="Z2001" s="4"/>
      <c r="AA2001" s="4"/>
      <c r="AB2001" s="4"/>
      <c r="AC2001" s="4"/>
      <c r="AD2001" s="4"/>
      <c r="AE2001" s="4"/>
      <c r="AF2001" s="4"/>
      <c r="AG2001" s="4"/>
      <c r="AH2001" s="4"/>
      <c r="AI2001" s="4"/>
      <c r="AJ2001" s="4"/>
      <c r="AK2001" s="4"/>
      <c r="AL2001" s="4"/>
      <c r="AM2001" s="4"/>
      <c r="AN2001" s="4"/>
      <c r="AO2001" s="4"/>
      <c r="AP2001" s="4"/>
      <c r="AQ2001" s="4"/>
      <c r="AR2001" s="4"/>
      <c r="AS2001" s="4"/>
      <c r="AT2001" s="4"/>
      <c r="AU2001" s="4"/>
      <c r="AV2001" s="4"/>
    </row>
    <row r="2002" spans="4:48" x14ac:dyDescent="0.3">
      <c r="D2002" s="5"/>
      <c r="E2002" s="5"/>
      <c r="F2002" s="20"/>
      <c r="G2002" s="20"/>
      <c r="H2002" s="5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4"/>
      <c r="T2002" s="4"/>
      <c r="U2002" s="4"/>
      <c r="V2002" s="4"/>
      <c r="W2002" s="4"/>
      <c r="X2002" s="4"/>
      <c r="Y2002" s="4"/>
      <c r="Z2002" s="4"/>
      <c r="AA2002" s="4"/>
      <c r="AB2002" s="4"/>
      <c r="AC2002" s="4"/>
      <c r="AD2002" s="4"/>
      <c r="AE2002" s="4"/>
      <c r="AF2002" s="4"/>
      <c r="AG2002" s="4"/>
      <c r="AH2002" s="4"/>
      <c r="AI2002" s="4"/>
      <c r="AJ2002" s="4"/>
      <c r="AK2002" s="4"/>
      <c r="AL2002" s="4"/>
      <c r="AM2002" s="4"/>
      <c r="AN2002" s="4"/>
      <c r="AO2002" s="4"/>
      <c r="AP2002" s="4"/>
      <c r="AQ2002" s="4"/>
      <c r="AR2002" s="4"/>
      <c r="AS2002" s="4"/>
      <c r="AT2002" s="4"/>
      <c r="AU2002" s="4"/>
      <c r="AV2002" s="4"/>
    </row>
    <row r="2003" spans="4:48" x14ac:dyDescent="0.3">
      <c r="D2003" s="5"/>
      <c r="E2003" s="5"/>
      <c r="F2003" s="20"/>
      <c r="G2003" s="20"/>
      <c r="H2003" s="5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4"/>
      <c r="T2003" s="4"/>
      <c r="U2003" s="4"/>
      <c r="V2003" s="4"/>
      <c r="W2003" s="4"/>
      <c r="X2003" s="4"/>
      <c r="Y2003" s="4"/>
      <c r="Z2003" s="4"/>
      <c r="AA2003" s="4"/>
      <c r="AB2003" s="4"/>
      <c r="AC2003" s="4"/>
      <c r="AD2003" s="4"/>
      <c r="AE2003" s="4"/>
      <c r="AF2003" s="4"/>
      <c r="AG2003" s="4"/>
      <c r="AH2003" s="4"/>
      <c r="AI2003" s="4"/>
      <c r="AJ2003" s="4"/>
      <c r="AK2003" s="4"/>
      <c r="AL2003" s="4"/>
      <c r="AM2003" s="4"/>
      <c r="AN2003" s="4"/>
      <c r="AO2003" s="4"/>
      <c r="AP2003" s="4"/>
      <c r="AQ2003" s="4"/>
      <c r="AR2003" s="4"/>
      <c r="AS2003" s="4"/>
      <c r="AT2003" s="4"/>
      <c r="AU2003" s="4"/>
      <c r="AV2003" s="4"/>
    </row>
    <row r="2004" spans="4:48" x14ac:dyDescent="0.3">
      <c r="D2004" s="5"/>
      <c r="E2004" s="5"/>
      <c r="F2004" s="20"/>
      <c r="G2004" s="20"/>
      <c r="H2004" s="5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4"/>
      <c r="T2004" s="4"/>
      <c r="U2004" s="4"/>
      <c r="V2004" s="4"/>
      <c r="W2004" s="4"/>
      <c r="X2004" s="4"/>
      <c r="Y2004" s="4"/>
      <c r="Z2004" s="4"/>
      <c r="AA2004" s="4"/>
      <c r="AB2004" s="4"/>
      <c r="AC2004" s="4"/>
      <c r="AD2004" s="4"/>
      <c r="AE2004" s="4"/>
      <c r="AF2004" s="4"/>
      <c r="AG2004" s="4"/>
      <c r="AH2004" s="4"/>
      <c r="AI2004" s="4"/>
      <c r="AJ2004" s="4"/>
      <c r="AK2004" s="4"/>
      <c r="AL2004" s="4"/>
      <c r="AM2004" s="4"/>
      <c r="AN2004" s="4"/>
      <c r="AO2004" s="4"/>
      <c r="AP2004" s="4"/>
      <c r="AQ2004" s="4"/>
      <c r="AR2004" s="4"/>
      <c r="AS2004" s="4"/>
      <c r="AT2004" s="4"/>
      <c r="AU2004" s="4"/>
      <c r="AV2004" s="4"/>
    </row>
    <row r="2005" spans="4:48" x14ac:dyDescent="0.3">
      <c r="D2005" s="5"/>
      <c r="E2005" s="5"/>
      <c r="F2005" s="20"/>
      <c r="G2005" s="20"/>
      <c r="H2005" s="5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4"/>
      <c r="T2005" s="4"/>
      <c r="U2005" s="4"/>
      <c r="V2005" s="4"/>
      <c r="W2005" s="4"/>
      <c r="X2005" s="4"/>
      <c r="Y2005" s="4"/>
      <c r="Z2005" s="4"/>
      <c r="AA2005" s="4"/>
      <c r="AB2005" s="4"/>
      <c r="AC2005" s="4"/>
      <c r="AD2005" s="4"/>
      <c r="AE2005" s="4"/>
      <c r="AF2005" s="4"/>
      <c r="AG2005" s="4"/>
      <c r="AH2005" s="4"/>
      <c r="AI2005" s="4"/>
      <c r="AJ2005" s="4"/>
      <c r="AK2005" s="4"/>
      <c r="AL2005" s="4"/>
      <c r="AM2005" s="4"/>
      <c r="AN2005" s="4"/>
      <c r="AO2005" s="4"/>
      <c r="AP2005" s="4"/>
      <c r="AQ2005" s="4"/>
      <c r="AR2005" s="4"/>
      <c r="AS2005" s="4"/>
      <c r="AT2005" s="4"/>
      <c r="AU2005" s="4"/>
      <c r="AV2005" s="4"/>
    </row>
    <row r="2006" spans="4:48" x14ac:dyDescent="0.3">
      <c r="D2006" s="5"/>
      <c r="E2006" s="5"/>
      <c r="F2006" s="20"/>
      <c r="G2006" s="20"/>
      <c r="H2006" s="5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4"/>
      <c r="T2006" s="4"/>
      <c r="U2006" s="4"/>
      <c r="V2006" s="4"/>
      <c r="W2006" s="4"/>
      <c r="X2006" s="4"/>
      <c r="Y2006" s="4"/>
      <c r="Z2006" s="4"/>
      <c r="AA2006" s="4"/>
      <c r="AB2006" s="4"/>
      <c r="AC2006" s="4"/>
      <c r="AD2006" s="4"/>
      <c r="AE2006" s="4"/>
      <c r="AF2006" s="4"/>
      <c r="AG2006" s="4"/>
      <c r="AH2006" s="4"/>
      <c r="AI2006" s="4"/>
      <c r="AJ2006" s="4"/>
      <c r="AK2006" s="4"/>
      <c r="AL2006" s="4"/>
      <c r="AM2006" s="4"/>
      <c r="AN2006" s="4"/>
      <c r="AO2006" s="4"/>
      <c r="AP2006" s="4"/>
      <c r="AQ2006" s="4"/>
      <c r="AR2006" s="4"/>
      <c r="AS2006" s="4"/>
      <c r="AT2006" s="4"/>
      <c r="AU2006" s="4"/>
      <c r="AV2006" s="4"/>
    </row>
    <row r="2007" spans="4:48" x14ac:dyDescent="0.3">
      <c r="D2007" s="5"/>
      <c r="E2007" s="5"/>
      <c r="F2007" s="20"/>
      <c r="G2007" s="20"/>
      <c r="H2007" s="5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4"/>
      <c r="T2007" s="4"/>
      <c r="U2007" s="4"/>
      <c r="V2007" s="4"/>
      <c r="W2007" s="4"/>
      <c r="X2007" s="4"/>
      <c r="Y2007" s="4"/>
      <c r="Z2007" s="4"/>
      <c r="AA2007" s="4"/>
      <c r="AB2007" s="4"/>
      <c r="AC2007" s="4"/>
      <c r="AD2007" s="4"/>
      <c r="AE2007" s="4"/>
      <c r="AF2007" s="4"/>
      <c r="AG2007" s="4"/>
      <c r="AH2007" s="4"/>
      <c r="AI2007" s="4"/>
      <c r="AJ2007" s="4"/>
      <c r="AK2007" s="4"/>
      <c r="AL2007" s="4"/>
      <c r="AM2007" s="4"/>
      <c r="AN2007" s="4"/>
      <c r="AO2007" s="4"/>
      <c r="AP2007" s="4"/>
      <c r="AQ2007" s="4"/>
      <c r="AR2007" s="4"/>
      <c r="AS2007" s="4"/>
      <c r="AT2007" s="4"/>
      <c r="AU2007" s="4"/>
      <c r="AV2007" s="4"/>
    </row>
    <row r="2008" spans="4:48" x14ac:dyDescent="0.3">
      <c r="D2008" s="5"/>
      <c r="E2008" s="5"/>
      <c r="F2008" s="20"/>
      <c r="G2008" s="20"/>
      <c r="H2008" s="5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4"/>
      <c r="T2008" s="4"/>
      <c r="U2008" s="4"/>
      <c r="V2008" s="4"/>
      <c r="W2008" s="4"/>
      <c r="X2008" s="4"/>
      <c r="Y2008" s="4"/>
      <c r="Z2008" s="4"/>
      <c r="AA2008" s="4"/>
      <c r="AB2008" s="4"/>
      <c r="AC2008" s="4"/>
      <c r="AD2008" s="4"/>
      <c r="AE2008" s="4"/>
      <c r="AF2008" s="4"/>
      <c r="AG2008" s="4"/>
      <c r="AH2008" s="4"/>
      <c r="AI2008" s="4"/>
      <c r="AJ2008" s="4"/>
      <c r="AK2008" s="4"/>
      <c r="AL2008" s="4"/>
      <c r="AM2008" s="4"/>
      <c r="AN2008" s="4"/>
      <c r="AO2008" s="4"/>
      <c r="AP2008" s="4"/>
      <c r="AQ2008" s="4"/>
      <c r="AR2008" s="4"/>
      <c r="AS2008" s="4"/>
      <c r="AT2008" s="4"/>
      <c r="AU2008" s="4"/>
      <c r="AV2008" s="4"/>
    </row>
    <row r="2009" spans="4:48" x14ac:dyDescent="0.3">
      <c r="D2009" s="5"/>
      <c r="E2009" s="5"/>
      <c r="F2009" s="20"/>
      <c r="G2009" s="20"/>
      <c r="H2009" s="5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4"/>
      <c r="T2009" s="4"/>
      <c r="U2009" s="4"/>
      <c r="V2009" s="4"/>
      <c r="W2009" s="4"/>
      <c r="X2009" s="4"/>
      <c r="Y2009" s="4"/>
      <c r="Z2009" s="4"/>
      <c r="AA2009" s="4"/>
      <c r="AB2009" s="4"/>
      <c r="AC2009" s="4"/>
      <c r="AD2009" s="4"/>
      <c r="AE2009" s="4"/>
      <c r="AF2009" s="4"/>
      <c r="AG2009" s="4"/>
      <c r="AH2009" s="4"/>
      <c r="AI2009" s="4"/>
      <c r="AJ2009" s="4"/>
      <c r="AK2009" s="4"/>
      <c r="AL2009" s="4"/>
      <c r="AM2009" s="4"/>
      <c r="AN2009" s="4"/>
      <c r="AO2009" s="4"/>
      <c r="AP2009" s="4"/>
      <c r="AQ2009" s="4"/>
      <c r="AR2009" s="4"/>
      <c r="AS2009" s="4"/>
      <c r="AT2009" s="4"/>
      <c r="AU2009" s="4"/>
      <c r="AV2009" s="4"/>
    </row>
    <row r="2010" spans="4:48" x14ac:dyDescent="0.3">
      <c r="D2010" s="5"/>
      <c r="E2010" s="5"/>
      <c r="F2010" s="20"/>
      <c r="G2010" s="20"/>
      <c r="H2010" s="5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4"/>
      <c r="T2010" s="4"/>
      <c r="U2010" s="4"/>
      <c r="V2010" s="4"/>
      <c r="W2010" s="4"/>
      <c r="X2010" s="4"/>
      <c r="Y2010" s="4"/>
      <c r="Z2010" s="4"/>
      <c r="AA2010" s="4"/>
      <c r="AB2010" s="4"/>
      <c r="AC2010" s="4"/>
      <c r="AD2010" s="4"/>
      <c r="AE2010" s="4"/>
      <c r="AF2010" s="4"/>
      <c r="AG2010" s="4"/>
      <c r="AH2010" s="4"/>
      <c r="AI2010" s="4"/>
      <c r="AJ2010" s="4"/>
      <c r="AK2010" s="4"/>
      <c r="AL2010" s="4"/>
      <c r="AM2010" s="4"/>
      <c r="AN2010" s="4"/>
      <c r="AO2010" s="4"/>
      <c r="AP2010" s="4"/>
      <c r="AQ2010" s="4"/>
      <c r="AR2010" s="4"/>
      <c r="AS2010" s="4"/>
      <c r="AT2010" s="4"/>
      <c r="AU2010" s="4"/>
      <c r="AV2010" s="4"/>
    </row>
    <row r="2011" spans="4:48" x14ac:dyDescent="0.3">
      <c r="D2011" s="5"/>
      <c r="E2011" s="5"/>
      <c r="F2011" s="20"/>
      <c r="G2011" s="20"/>
      <c r="H2011" s="5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4"/>
      <c r="T2011" s="4"/>
      <c r="U2011" s="4"/>
      <c r="V2011" s="4"/>
      <c r="W2011" s="4"/>
      <c r="X2011" s="4"/>
      <c r="Y2011" s="4"/>
      <c r="Z2011" s="4"/>
      <c r="AA2011" s="4"/>
      <c r="AB2011" s="4"/>
      <c r="AC2011" s="4"/>
      <c r="AD2011" s="4"/>
      <c r="AE2011" s="4"/>
      <c r="AF2011" s="4"/>
      <c r="AG2011" s="4"/>
      <c r="AH2011" s="4"/>
      <c r="AI2011" s="4"/>
      <c r="AJ2011" s="4"/>
      <c r="AK2011" s="4"/>
      <c r="AL2011" s="4"/>
      <c r="AM2011" s="4"/>
      <c r="AN2011" s="4"/>
      <c r="AO2011" s="4"/>
      <c r="AP2011" s="4"/>
      <c r="AQ2011" s="4"/>
      <c r="AR2011" s="4"/>
      <c r="AS2011" s="4"/>
      <c r="AT2011" s="4"/>
      <c r="AU2011" s="4"/>
      <c r="AV2011" s="4"/>
    </row>
    <row r="2012" spans="4:48" x14ac:dyDescent="0.3">
      <c r="D2012" s="5"/>
      <c r="E2012" s="5"/>
      <c r="F2012" s="20"/>
      <c r="G2012" s="20"/>
      <c r="H2012" s="5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4"/>
      <c r="T2012" s="4"/>
      <c r="U2012" s="4"/>
      <c r="V2012" s="4"/>
      <c r="W2012" s="4"/>
      <c r="X2012" s="4"/>
      <c r="Y2012" s="4"/>
      <c r="Z2012" s="4"/>
      <c r="AA2012" s="4"/>
      <c r="AB2012" s="4"/>
      <c r="AC2012" s="4"/>
      <c r="AD2012" s="4"/>
      <c r="AE2012" s="4"/>
      <c r="AF2012" s="4"/>
      <c r="AG2012" s="4"/>
      <c r="AH2012" s="4"/>
      <c r="AI2012" s="4"/>
      <c r="AJ2012" s="4"/>
      <c r="AK2012" s="4"/>
      <c r="AL2012" s="4"/>
      <c r="AM2012" s="4"/>
      <c r="AN2012" s="4"/>
      <c r="AO2012" s="4"/>
      <c r="AP2012" s="4"/>
      <c r="AQ2012" s="4"/>
      <c r="AR2012" s="4"/>
      <c r="AS2012" s="4"/>
      <c r="AT2012" s="4"/>
      <c r="AU2012" s="4"/>
      <c r="AV2012" s="4"/>
    </row>
    <row r="2013" spans="4:48" x14ac:dyDescent="0.3">
      <c r="D2013" s="5"/>
      <c r="E2013" s="5"/>
      <c r="F2013" s="20"/>
      <c r="G2013" s="20"/>
      <c r="H2013" s="5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4"/>
      <c r="T2013" s="4"/>
      <c r="U2013" s="4"/>
      <c r="V2013" s="4"/>
      <c r="W2013" s="4"/>
      <c r="X2013" s="4"/>
      <c r="Y2013" s="4"/>
      <c r="Z2013" s="4"/>
      <c r="AA2013" s="4"/>
      <c r="AB2013" s="4"/>
      <c r="AC2013" s="4"/>
      <c r="AD2013" s="4"/>
      <c r="AE2013" s="4"/>
      <c r="AF2013" s="4"/>
      <c r="AG2013" s="4"/>
      <c r="AH2013" s="4"/>
      <c r="AI2013" s="4"/>
      <c r="AJ2013" s="4"/>
      <c r="AK2013" s="4"/>
      <c r="AL2013" s="4"/>
      <c r="AM2013" s="4"/>
      <c r="AN2013" s="4"/>
      <c r="AO2013" s="4"/>
      <c r="AP2013" s="4"/>
      <c r="AQ2013" s="4"/>
      <c r="AR2013" s="4"/>
      <c r="AS2013" s="4"/>
      <c r="AT2013" s="4"/>
      <c r="AU2013" s="4"/>
      <c r="AV2013" s="4"/>
    </row>
    <row r="2014" spans="4:48" x14ac:dyDescent="0.3">
      <c r="D2014" s="5"/>
      <c r="E2014" s="5"/>
      <c r="F2014" s="20"/>
      <c r="G2014" s="20"/>
      <c r="H2014" s="5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4"/>
      <c r="T2014" s="4"/>
      <c r="U2014" s="4"/>
      <c r="V2014" s="4"/>
      <c r="W2014" s="4"/>
      <c r="X2014" s="4"/>
      <c r="Y2014" s="4"/>
      <c r="Z2014" s="4"/>
      <c r="AA2014" s="4"/>
      <c r="AB2014" s="4"/>
      <c r="AC2014" s="4"/>
      <c r="AD2014" s="4"/>
      <c r="AE2014" s="4"/>
      <c r="AF2014" s="4"/>
      <c r="AG2014" s="4"/>
      <c r="AH2014" s="4"/>
      <c r="AI2014" s="4"/>
      <c r="AJ2014" s="4"/>
      <c r="AK2014" s="4"/>
      <c r="AL2014" s="4"/>
      <c r="AM2014" s="4"/>
      <c r="AN2014" s="4"/>
      <c r="AO2014" s="4"/>
      <c r="AP2014" s="4"/>
      <c r="AQ2014" s="4"/>
      <c r="AR2014" s="4"/>
      <c r="AS2014" s="4"/>
      <c r="AT2014" s="4"/>
      <c r="AU2014" s="4"/>
      <c r="AV2014" s="4"/>
    </row>
    <row r="2015" spans="4:48" x14ac:dyDescent="0.3">
      <c r="D2015" s="5"/>
      <c r="E2015" s="5"/>
      <c r="F2015" s="20"/>
      <c r="G2015" s="20"/>
      <c r="H2015" s="5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4"/>
      <c r="T2015" s="4"/>
      <c r="U2015" s="4"/>
      <c r="V2015" s="4"/>
      <c r="W2015" s="4"/>
      <c r="X2015" s="4"/>
      <c r="Y2015" s="4"/>
      <c r="Z2015" s="4"/>
      <c r="AA2015" s="4"/>
      <c r="AB2015" s="4"/>
      <c r="AC2015" s="4"/>
      <c r="AD2015" s="4"/>
      <c r="AE2015" s="4"/>
      <c r="AF2015" s="4"/>
      <c r="AG2015" s="4"/>
      <c r="AH2015" s="4"/>
      <c r="AI2015" s="4"/>
      <c r="AJ2015" s="4"/>
      <c r="AK2015" s="4"/>
      <c r="AL2015" s="4"/>
      <c r="AM2015" s="4"/>
      <c r="AN2015" s="4"/>
      <c r="AO2015" s="4"/>
      <c r="AP2015" s="4"/>
      <c r="AQ2015" s="4"/>
      <c r="AR2015" s="4"/>
      <c r="AS2015" s="4"/>
      <c r="AT2015" s="4"/>
      <c r="AU2015" s="4"/>
      <c r="AV2015" s="4"/>
    </row>
    <row r="2016" spans="4:48" x14ac:dyDescent="0.3">
      <c r="D2016" s="5"/>
      <c r="E2016" s="5"/>
      <c r="F2016" s="20"/>
      <c r="G2016" s="20"/>
      <c r="H2016" s="5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4"/>
      <c r="T2016" s="4"/>
      <c r="U2016" s="4"/>
      <c r="V2016" s="4"/>
      <c r="W2016" s="4"/>
      <c r="X2016" s="4"/>
      <c r="Y2016" s="4"/>
      <c r="Z2016" s="4"/>
      <c r="AA2016" s="4"/>
      <c r="AB2016" s="4"/>
      <c r="AC2016" s="4"/>
      <c r="AD2016" s="4"/>
      <c r="AE2016" s="4"/>
      <c r="AF2016" s="4"/>
      <c r="AG2016" s="4"/>
      <c r="AH2016" s="4"/>
      <c r="AI2016" s="4"/>
      <c r="AJ2016" s="4"/>
      <c r="AK2016" s="4"/>
      <c r="AL2016" s="4"/>
      <c r="AM2016" s="4"/>
      <c r="AN2016" s="4"/>
      <c r="AO2016" s="4"/>
      <c r="AP2016" s="4"/>
      <c r="AQ2016" s="4"/>
      <c r="AR2016" s="4"/>
      <c r="AS2016" s="4"/>
      <c r="AT2016" s="4"/>
      <c r="AU2016" s="4"/>
      <c r="AV2016" s="4"/>
    </row>
    <row r="2017" spans="4:48" x14ac:dyDescent="0.3">
      <c r="D2017" s="5"/>
      <c r="E2017" s="5"/>
      <c r="F2017" s="20"/>
      <c r="G2017" s="20"/>
      <c r="H2017" s="5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4"/>
      <c r="T2017" s="4"/>
      <c r="U2017" s="4"/>
      <c r="V2017" s="4"/>
      <c r="W2017" s="4"/>
      <c r="X2017" s="4"/>
      <c r="Y2017" s="4"/>
      <c r="Z2017" s="4"/>
      <c r="AA2017" s="4"/>
      <c r="AB2017" s="4"/>
      <c r="AC2017" s="4"/>
      <c r="AD2017" s="4"/>
      <c r="AE2017" s="4"/>
      <c r="AF2017" s="4"/>
      <c r="AG2017" s="4"/>
      <c r="AH2017" s="4"/>
      <c r="AI2017" s="4"/>
      <c r="AJ2017" s="4"/>
      <c r="AK2017" s="4"/>
      <c r="AL2017" s="4"/>
      <c r="AM2017" s="4"/>
      <c r="AN2017" s="4"/>
      <c r="AO2017" s="4"/>
      <c r="AP2017" s="4"/>
      <c r="AQ2017" s="4"/>
      <c r="AR2017" s="4"/>
      <c r="AS2017" s="4"/>
      <c r="AT2017" s="4"/>
      <c r="AU2017" s="4"/>
      <c r="AV2017" s="4"/>
    </row>
    <row r="2018" spans="4:48" x14ac:dyDescent="0.3">
      <c r="D2018" s="5"/>
      <c r="E2018" s="5"/>
      <c r="F2018" s="20"/>
      <c r="G2018" s="20"/>
      <c r="H2018" s="5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4"/>
      <c r="T2018" s="4"/>
      <c r="U2018" s="4"/>
      <c r="V2018" s="4"/>
      <c r="W2018" s="4"/>
      <c r="X2018" s="4"/>
      <c r="Y2018" s="4"/>
      <c r="Z2018" s="4"/>
      <c r="AA2018" s="4"/>
      <c r="AB2018" s="4"/>
      <c r="AC2018" s="4"/>
      <c r="AD2018" s="4"/>
      <c r="AE2018" s="4"/>
      <c r="AF2018" s="4"/>
      <c r="AG2018" s="4"/>
      <c r="AH2018" s="4"/>
      <c r="AI2018" s="4"/>
      <c r="AJ2018" s="4"/>
      <c r="AK2018" s="4"/>
      <c r="AL2018" s="4"/>
      <c r="AM2018" s="4"/>
      <c r="AN2018" s="4"/>
      <c r="AO2018" s="4"/>
      <c r="AP2018" s="4"/>
      <c r="AQ2018" s="4"/>
      <c r="AR2018" s="4"/>
      <c r="AS2018" s="4"/>
      <c r="AT2018" s="4"/>
      <c r="AU2018" s="4"/>
      <c r="AV2018" s="4"/>
    </row>
    <row r="2019" spans="4:48" x14ac:dyDescent="0.3">
      <c r="D2019" s="5"/>
      <c r="E2019" s="5"/>
      <c r="F2019" s="20"/>
      <c r="G2019" s="20"/>
      <c r="H2019" s="5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4"/>
      <c r="T2019" s="4"/>
      <c r="U2019" s="4"/>
      <c r="V2019" s="4"/>
      <c r="W2019" s="4"/>
      <c r="X2019" s="4"/>
      <c r="Y2019" s="4"/>
      <c r="Z2019" s="4"/>
      <c r="AA2019" s="4"/>
      <c r="AB2019" s="4"/>
      <c r="AC2019" s="4"/>
      <c r="AD2019" s="4"/>
      <c r="AE2019" s="4"/>
      <c r="AF2019" s="4"/>
      <c r="AG2019" s="4"/>
      <c r="AH2019" s="4"/>
      <c r="AI2019" s="4"/>
      <c r="AJ2019" s="4"/>
      <c r="AK2019" s="4"/>
      <c r="AL2019" s="4"/>
      <c r="AM2019" s="4"/>
      <c r="AN2019" s="4"/>
      <c r="AO2019" s="4"/>
      <c r="AP2019" s="4"/>
      <c r="AQ2019" s="4"/>
      <c r="AR2019" s="4"/>
      <c r="AS2019" s="4"/>
      <c r="AT2019" s="4"/>
      <c r="AU2019" s="4"/>
      <c r="AV2019" s="4"/>
    </row>
    <row r="2020" spans="4:48" x14ac:dyDescent="0.3">
      <c r="D2020" s="5"/>
      <c r="E2020" s="5"/>
      <c r="F2020" s="20"/>
      <c r="G2020" s="20"/>
      <c r="H2020" s="5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4"/>
      <c r="T2020" s="4"/>
      <c r="U2020" s="4"/>
      <c r="V2020" s="4"/>
      <c r="W2020" s="4"/>
      <c r="X2020" s="4"/>
      <c r="Y2020" s="4"/>
      <c r="Z2020" s="4"/>
      <c r="AA2020" s="4"/>
      <c r="AB2020" s="4"/>
      <c r="AC2020" s="4"/>
      <c r="AD2020" s="4"/>
      <c r="AE2020" s="4"/>
      <c r="AF2020" s="4"/>
      <c r="AG2020" s="4"/>
      <c r="AH2020" s="4"/>
      <c r="AI2020" s="4"/>
      <c r="AJ2020" s="4"/>
      <c r="AK2020" s="4"/>
      <c r="AL2020" s="4"/>
      <c r="AM2020" s="4"/>
      <c r="AN2020" s="4"/>
      <c r="AO2020" s="4"/>
      <c r="AP2020" s="4"/>
      <c r="AQ2020" s="4"/>
      <c r="AR2020" s="4"/>
      <c r="AS2020" s="4"/>
      <c r="AT2020" s="4"/>
      <c r="AU2020" s="4"/>
      <c r="AV2020" s="4"/>
    </row>
    <row r="2021" spans="4:48" x14ac:dyDescent="0.3">
      <c r="D2021" s="5"/>
      <c r="E2021" s="5"/>
      <c r="F2021" s="20"/>
      <c r="G2021" s="20"/>
      <c r="H2021" s="5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4"/>
      <c r="T2021" s="4"/>
      <c r="U2021" s="4"/>
      <c r="V2021" s="4"/>
      <c r="W2021" s="4"/>
      <c r="X2021" s="4"/>
      <c r="Y2021" s="4"/>
      <c r="Z2021" s="4"/>
      <c r="AA2021" s="4"/>
      <c r="AB2021" s="4"/>
      <c r="AC2021" s="4"/>
      <c r="AD2021" s="4"/>
      <c r="AE2021" s="4"/>
      <c r="AF2021" s="4"/>
      <c r="AG2021" s="4"/>
      <c r="AH2021" s="4"/>
      <c r="AI2021" s="4"/>
      <c r="AJ2021" s="4"/>
      <c r="AK2021" s="4"/>
      <c r="AL2021" s="4"/>
      <c r="AM2021" s="4"/>
      <c r="AN2021" s="4"/>
      <c r="AO2021" s="4"/>
      <c r="AP2021" s="4"/>
      <c r="AQ2021" s="4"/>
      <c r="AR2021" s="4"/>
      <c r="AS2021" s="4"/>
      <c r="AT2021" s="4"/>
      <c r="AU2021" s="4"/>
      <c r="AV2021" s="4"/>
    </row>
    <row r="2022" spans="4:48" x14ac:dyDescent="0.3">
      <c r="D2022" s="5"/>
      <c r="E2022" s="5"/>
      <c r="F2022" s="20"/>
      <c r="G2022" s="20"/>
      <c r="H2022" s="5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4"/>
      <c r="T2022" s="4"/>
      <c r="U2022" s="4"/>
      <c r="V2022" s="4"/>
      <c r="W2022" s="4"/>
      <c r="X2022" s="4"/>
      <c r="Y2022" s="4"/>
      <c r="Z2022" s="4"/>
      <c r="AA2022" s="4"/>
      <c r="AB2022" s="4"/>
      <c r="AC2022" s="4"/>
      <c r="AD2022" s="4"/>
      <c r="AE2022" s="4"/>
      <c r="AF2022" s="4"/>
      <c r="AG2022" s="4"/>
      <c r="AH2022" s="4"/>
      <c r="AI2022" s="4"/>
      <c r="AJ2022" s="4"/>
      <c r="AK2022" s="4"/>
      <c r="AL2022" s="4"/>
      <c r="AM2022" s="4"/>
      <c r="AN2022" s="4"/>
      <c r="AO2022" s="4"/>
      <c r="AP2022" s="4"/>
      <c r="AQ2022" s="4"/>
      <c r="AR2022" s="4"/>
      <c r="AS2022" s="4"/>
      <c r="AT2022" s="4"/>
      <c r="AU2022" s="4"/>
      <c r="AV2022" s="4"/>
    </row>
    <row r="2023" spans="4:48" x14ac:dyDescent="0.3">
      <c r="D2023" s="5"/>
      <c r="E2023" s="5"/>
      <c r="F2023" s="20"/>
      <c r="G2023" s="20"/>
      <c r="H2023" s="5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4"/>
      <c r="T2023" s="4"/>
      <c r="U2023" s="4"/>
      <c r="V2023" s="4"/>
      <c r="W2023" s="4"/>
      <c r="X2023" s="4"/>
      <c r="Y2023" s="4"/>
      <c r="Z2023" s="4"/>
      <c r="AA2023" s="4"/>
      <c r="AB2023" s="4"/>
      <c r="AC2023" s="4"/>
      <c r="AD2023" s="4"/>
      <c r="AE2023" s="4"/>
      <c r="AF2023" s="4"/>
      <c r="AG2023" s="4"/>
      <c r="AH2023" s="4"/>
      <c r="AI2023" s="4"/>
      <c r="AJ2023" s="4"/>
      <c r="AK2023" s="4"/>
      <c r="AL2023" s="4"/>
      <c r="AM2023" s="4"/>
      <c r="AN2023" s="4"/>
      <c r="AO2023" s="4"/>
      <c r="AP2023" s="4"/>
      <c r="AQ2023" s="4"/>
      <c r="AR2023" s="4"/>
      <c r="AS2023" s="4"/>
      <c r="AT2023" s="4"/>
      <c r="AU2023" s="4"/>
      <c r="AV2023" s="4"/>
    </row>
    <row r="2024" spans="4:48" x14ac:dyDescent="0.3">
      <c r="D2024" s="5"/>
      <c r="E2024" s="5"/>
      <c r="F2024" s="20"/>
      <c r="G2024" s="20"/>
      <c r="H2024" s="5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4"/>
      <c r="T2024" s="4"/>
      <c r="U2024" s="4"/>
      <c r="V2024" s="4"/>
      <c r="W2024" s="4"/>
      <c r="X2024" s="4"/>
      <c r="Y2024" s="4"/>
      <c r="Z2024" s="4"/>
      <c r="AA2024" s="4"/>
      <c r="AB2024" s="4"/>
      <c r="AC2024" s="4"/>
      <c r="AD2024" s="4"/>
      <c r="AE2024" s="4"/>
      <c r="AF2024" s="4"/>
      <c r="AG2024" s="4"/>
      <c r="AH2024" s="4"/>
      <c r="AI2024" s="4"/>
      <c r="AJ2024" s="4"/>
      <c r="AK2024" s="4"/>
      <c r="AL2024" s="4"/>
      <c r="AM2024" s="4"/>
      <c r="AN2024" s="4"/>
      <c r="AO2024" s="4"/>
      <c r="AP2024" s="4"/>
      <c r="AQ2024" s="4"/>
      <c r="AR2024" s="4"/>
      <c r="AS2024" s="4"/>
      <c r="AT2024" s="4"/>
      <c r="AU2024" s="4"/>
      <c r="AV2024" s="4"/>
    </row>
    <row r="2025" spans="4:48" x14ac:dyDescent="0.3">
      <c r="D2025" s="5"/>
      <c r="E2025" s="5"/>
      <c r="F2025" s="20"/>
      <c r="G2025" s="20"/>
      <c r="H2025" s="5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4"/>
      <c r="T2025" s="4"/>
      <c r="U2025" s="4"/>
      <c r="V2025" s="4"/>
      <c r="W2025" s="4"/>
      <c r="X2025" s="4"/>
      <c r="Y2025" s="4"/>
      <c r="Z2025" s="4"/>
      <c r="AA2025" s="4"/>
      <c r="AB2025" s="4"/>
      <c r="AC2025" s="4"/>
      <c r="AD2025" s="4"/>
      <c r="AE2025" s="4"/>
      <c r="AF2025" s="4"/>
      <c r="AG2025" s="4"/>
      <c r="AH2025" s="4"/>
      <c r="AI2025" s="4"/>
      <c r="AJ2025" s="4"/>
      <c r="AK2025" s="4"/>
      <c r="AL2025" s="4"/>
      <c r="AM2025" s="4"/>
      <c r="AN2025" s="4"/>
      <c r="AO2025" s="4"/>
      <c r="AP2025" s="4"/>
      <c r="AQ2025" s="4"/>
      <c r="AR2025" s="4"/>
      <c r="AS2025" s="4"/>
      <c r="AT2025" s="4"/>
      <c r="AU2025" s="4"/>
      <c r="AV2025" s="4"/>
    </row>
    <row r="2026" spans="4:48" x14ac:dyDescent="0.3">
      <c r="D2026" s="5"/>
      <c r="E2026" s="5"/>
      <c r="F2026" s="20"/>
      <c r="G2026" s="20"/>
      <c r="H2026" s="5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4"/>
      <c r="T2026" s="4"/>
      <c r="U2026" s="4"/>
      <c r="V2026" s="4"/>
      <c r="W2026" s="4"/>
      <c r="X2026" s="4"/>
      <c r="Y2026" s="4"/>
      <c r="Z2026" s="4"/>
      <c r="AA2026" s="4"/>
      <c r="AB2026" s="4"/>
      <c r="AC2026" s="4"/>
      <c r="AD2026" s="4"/>
      <c r="AE2026" s="4"/>
      <c r="AF2026" s="4"/>
      <c r="AG2026" s="4"/>
      <c r="AH2026" s="4"/>
      <c r="AI2026" s="4"/>
      <c r="AJ2026" s="4"/>
      <c r="AK2026" s="4"/>
      <c r="AL2026" s="4"/>
      <c r="AM2026" s="4"/>
      <c r="AN2026" s="4"/>
      <c r="AO2026" s="4"/>
      <c r="AP2026" s="4"/>
      <c r="AQ2026" s="4"/>
      <c r="AR2026" s="4"/>
      <c r="AS2026" s="4"/>
      <c r="AT2026" s="4"/>
      <c r="AU2026" s="4"/>
      <c r="AV2026" s="4"/>
    </row>
    <row r="2027" spans="4:48" x14ac:dyDescent="0.3">
      <c r="D2027" s="5"/>
      <c r="E2027" s="5"/>
      <c r="F2027" s="20"/>
      <c r="G2027" s="20"/>
      <c r="H2027" s="5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4"/>
      <c r="T2027" s="4"/>
      <c r="U2027" s="4"/>
      <c r="V2027" s="4"/>
      <c r="W2027" s="4"/>
      <c r="X2027" s="4"/>
      <c r="Y2027" s="4"/>
      <c r="Z2027" s="4"/>
      <c r="AA2027" s="4"/>
      <c r="AB2027" s="4"/>
      <c r="AC2027" s="4"/>
      <c r="AD2027" s="4"/>
      <c r="AE2027" s="4"/>
      <c r="AF2027" s="4"/>
      <c r="AG2027" s="4"/>
      <c r="AH2027" s="4"/>
      <c r="AI2027" s="4"/>
      <c r="AJ2027" s="4"/>
      <c r="AK2027" s="4"/>
      <c r="AL2027" s="4"/>
      <c r="AM2027" s="4"/>
      <c r="AN2027" s="4"/>
      <c r="AO2027" s="4"/>
      <c r="AP2027" s="4"/>
      <c r="AQ2027" s="4"/>
      <c r="AR2027" s="4"/>
      <c r="AS2027" s="4"/>
      <c r="AT2027" s="4"/>
      <c r="AU2027" s="4"/>
      <c r="AV2027" s="4"/>
    </row>
    <row r="2028" spans="4:48" x14ac:dyDescent="0.3">
      <c r="D2028" s="5"/>
      <c r="E2028" s="5"/>
      <c r="F2028" s="20"/>
      <c r="G2028" s="20"/>
      <c r="H2028" s="5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4"/>
      <c r="T2028" s="4"/>
      <c r="U2028" s="4"/>
      <c r="V2028" s="4"/>
      <c r="W2028" s="4"/>
      <c r="X2028" s="4"/>
      <c r="Y2028" s="4"/>
      <c r="Z2028" s="4"/>
      <c r="AA2028" s="4"/>
      <c r="AB2028" s="4"/>
      <c r="AC2028" s="4"/>
      <c r="AD2028" s="4"/>
      <c r="AE2028" s="4"/>
      <c r="AF2028" s="4"/>
      <c r="AG2028" s="4"/>
      <c r="AH2028" s="4"/>
      <c r="AI2028" s="4"/>
      <c r="AJ2028" s="4"/>
      <c r="AK2028" s="4"/>
      <c r="AL2028" s="4"/>
      <c r="AM2028" s="4"/>
      <c r="AN2028" s="4"/>
      <c r="AO2028" s="4"/>
      <c r="AP2028" s="4"/>
      <c r="AQ2028" s="4"/>
      <c r="AR2028" s="4"/>
      <c r="AS2028" s="4"/>
      <c r="AT2028" s="4"/>
      <c r="AU2028" s="4"/>
      <c r="AV2028" s="4"/>
    </row>
    <row r="2029" spans="4:48" x14ac:dyDescent="0.3">
      <c r="D2029" s="5"/>
      <c r="E2029" s="5"/>
      <c r="F2029" s="20"/>
      <c r="G2029" s="20"/>
      <c r="H2029" s="5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4"/>
      <c r="T2029" s="4"/>
      <c r="U2029" s="4"/>
      <c r="V2029" s="4"/>
      <c r="W2029" s="4"/>
      <c r="X2029" s="4"/>
      <c r="Y2029" s="4"/>
      <c r="Z2029" s="4"/>
      <c r="AA2029" s="4"/>
      <c r="AB2029" s="4"/>
      <c r="AC2029" s="4"/>
      <c r="AD2029" s="4"/>
      <c r="AE2029" s="4"/>
      <c r="AF2029" s="4"/>
      <c r="AG2029" s="4"/>
      <c r="AH2029" s="4"/>
      <c r="AI2029" s="4"/>
      <c r="AJ2029" s="4"/>
      <c r="AK2029" s="4"/>
      <c r="AL2029" s="4"/>
      <c r="AM2029" s="4"/>
      <c r="AN2029" s="4"/>
      <c r="AO2029" s="4"/>
      <c r="AP2029" s="4"/>
      <c r="AQ2029" s="4"/>
      <c r="AR2029" s="4"/>
      <c r="AS2029" s="4"/>
      <c r="AT2029" s="4"/>
      <c r="AU2029" s="4"/>
      <c r="AV2029" s="4"/>
    </row>
    <row r="2030" spans="4:48" x14ac:dyDescent="0.3">
      <c r="D2030" s="5"/>
      <c r="E2030" s="5"/>
      <c r="F2030" s="20"/>
      <c r="G2030" s="20"/>
      <c r="H2030" s="5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4"/>
      <c r="T2030" s="4"/>
      <c r="U2030" s="4"/>
      <c r="V2030" s="4"/>
      <c r="W2030" s="4"/>
      <c r="X2030" s="4"/>
      <c r="Y2030" s="4"/>
      <c r="Z2030" s="4"/>
      <c r="AA2030" s="4"/>
      <c r="AB2030" s="4"/>
      <c r="AC2030" s="4"/>
      <c r="AD2030" s="4"/>
      <c r="AE2030" s="4"/>
      <c r="AF2030" s="4"/>
      <c r="AG2030" s="4"/>
      <c r="AH2030" s="4"/>
      <c r="AI2030" s="4"/>
      <c r="AJ2030" s="4"/>
      <c r="AK2030" s="4"/>
      <c r="AL2030" s="4"/>
      <c r="AM2030" s="4"/>
      <c r="AN2030" s="4"/>
      <c r="AO2030" s="4"/>
      <c r="AP2030" s="4"/>
      <c r="AQ2030" s="4"/>
      <c r="AR2030" s="4"/>
      <c r="AS2030" s="4"/>
      <c r="AT2030" s="4"/>
      <c r="AU2030" s="4"/>
      <c r="AV2030" s="4"/>
    </row>
    <row r="2031" spans="4:48" x14ac:dyDescent="0.3">
      <c r="D2031" s="5"/>
      <c r="E2031" s="5"/>
      <c r="F2031" s="20"/>
      <c r="G2031" s="20"/>
      <c r="H2031" s="5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4"/>
      <c r="T2031" s="4"/>
      <c r="U2031" s="4"/>
      <c r="V2031" s="4"/>
      <c r="W2031" s="4"/>
      <c r="X2031" s="4"/>
      <c r="Y2031" s="4"/>
      <c r="Z2031" s="4"/>
      <c r="AA2031" s="4"/>
      <c r="AB2031" s="4"/>
      <c r="AC2031" s="4"/>
      <c r="AD2031" s="4"/>
      <c r="AE2031" s="4"/>
      <c r="AF2031" s="4"/>
      <c r="AG2031" s="4"/>
      <c r="AH2031" s="4"/>
      <c r="AI2031" s="4"/>
      <c r="AJ2031" s="4"/>
      <c r="AK2031" s="4"/>
      <c r="AL2031" s="4"/>
      <c r="AM2031" s="4"/>
      <c r="AN2031" s="4"/>
      <c r="AO2031" s="4"/>
      <c r="AP2031" s="4"/>
      <c r="AQ2031" s="4"/>
      <c r="AR2031" s="4"/>
      <c r="AS2031" s="4"/>
      <c r="AT2031" s="4"/>
      <c r="AU2031" s="4"/>
      <c r="AV2031" s="4"/>
    </row>
    <row r="2032" spans="4:48" x14ac:dyDescent="0.3">
      <c r="D2032" s="5"/>
      <c r="E2032" s="5"/>
      <c r="F2032" s="20"/>
      <c r="G2032" s="20"/>
      <c r="H2032" s="5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4"/>
      <c r="T2032" s="4"/>
      <c r="U2032" s="4"/>
      <c r="V2032" s="4"/>
      <c r="W2032" s="4"/>
      <c r="X2032" s="4"/>
      <c r="Y2032" s="4"/>
      <c r="Z2032" s="4"/>
      <c r="AA2032" s="4"/>
      <c r="AB2032" s="4"/>
      <c r="AC2032" s="4"/>
      <c r="AD2032" s="4"/>
      <c r="AE2032" s="4"/>
      <c r="AF2032" s="4"/>
      <c r="AG2032" s="4"/>
      <c r="AH2032" s="4"/>
      <c r="AI2032" s="4"/>
      <c r="AJ2032" s="4"/>
      <c r="AK2032" s="4"/>
      <c r="AL2032" s="4"/>
      <c r="AM2032" s="4"/>
      <c r="AN2032" s="4"/>
      <c r="AO2032" s="4"/>
      <c r="AP2032" s="4"/>
      <c r="AQ2032" s="4"/>
      <c r="AR2032" s="4"/>
      <c r="AS2032" s="4"/>
      <c r="AT2032" s="4"/>
      <c r="AU2032" s="4"/>
      <c r="AV2032" s="4"/>
    </row>
    <row r="2033" spans="4:48" x14ac:dyDescent="0.3">
      <c r="D2033" s="5"/>
      <c r="E2033" s="5"/>
      <c r="F2033" s="20"/>
      <c r="G2033" s="20"/>
      <c r="H2033" s="5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4"/>
      <c r="T2033" s="4"/>
      <c r="U2033" s="4"/>
      <c r="V2033" s="4"/>
      <c r="W2033" s="4"/>
      <c r="X2033" s="4"/>
      <c r="Y2033" s="4"/>
      <c r="Z2033" s="4"/>
      <c r="AA2033" s="4"/>
      <c r="AB2033" s="4"/>
      <c r="AC2033" s="4"/>
      <c r="AD2033" s="4"/>
      <c r="AE2033" s="4"/>
      <c r="AF2033" s="4"/>
      <c r="AG2033" s="4"/>
      <c r="AH2033" s="4"/>
      <c r="AI2033" s="4"/>
      <c r="AJ2033" s="4"/>
      <c r="AK2033" s="4"/>
      <c r="AL2033" s="4"/>
      <c r="AM2033" s="4"/>
      <c r="AN2033" s="4"/>
      <c r="AO2033" s="4"/>
      <c r="AP2033" s="4"/>
      <c r="AQ2033" s="4"/>
      <c r="AR2033" s="4"/>
      <c r="AS2033" s="4"/>
      <c r="AT2033" s="4"/>
      <c r="AU2033" s="4"/>
      <c r="AV2033" s="4"/>
    </row>
    <row r="2034" spans="4:48" x14ac:dyDescent="0.3">
      <c r="D2034" s="5"/>
      <c r="E2034" s="5"/>
      <c r="F2034" s="20"/>
      <c r="G2034" s="20"/>
      <c r="H2034" s="5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4"/>
      <c r="T2034" s="4"/>
      <c r="U2034" s="4"/>
      <c r="V2034" s="4"/>
      <c r="W2034" s="4"/>
      <c r="X2034" s="4"/>
      <c r="Y2034" s="4"/>
      <c r="Z2034" s="4"/>
      <c r="AA2034" s="4"/>
      <c r="AB2034" s="4"/>
      <c r="AC2034" s="4"/>
      <c r="AD2034" s="4"/>
      <c r="AE2034" s="4"/>
      <c r="AF2034" s="4"/>
      <c r="AG2034" s="4"/>
      <c r="AH2034" s="4"/>
      <c r="AI2034" s="4"/>
      <c r="AJ2034" s="4"/>
      <c r="AK2034" s="4"/>
      <c r="AL2034" s="4"/>
      <c r="AM2034" s="4"/>
      <c r="AN2034" s="4"/>
      <c r="AO2034" s="4"/>
      <c r="AP2034" s="4"/>
      <c r="AQ2034" s="4"/>
      <c r="AR2034" s="4"/>
      <c r="AS2034" s="4"/>
      <c r="AT2034" s="4"/>
      <c r="AU2034" s="4"/>
      <c r="AV2034" s="4"/>
    </row>
    <row r="2035" spans="4:48" x14ac:dyDescent="0.3">
      <c r="D2035" s="5"/>
      <c r="E2035" s="5"/>
      <c r="F2035" s="20"/>
      <c r="G2035" s="20"/>
      <c r="H2035" s="5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4"/>
      <c r="T2035" s="4"/>
      <c r="U2035" s="4"/>
      <c r="V2035" s="4"/>
      <c r="W2035" s="4"/>
      <c r="X2035" s="4"/>
      <c r="Y2035" s="4"/>
      <c r="Z2035" s="4"/>
      <c r="AA2035" s="4"/>
      <c r="AB2035" s="4"/>
      <c r="AC2035" s="4"/>
      <c r="AD2035" s="4"/>
      <c r="AE2035" s="4"/>
      <c r="AF2035" s="4"/>
      <c r="AG2035" s="4"/>
      <c r="AH2035" s="4"/>
      <c r="AI2035" s="4"/>
      <c r="AJ2035" s="4"/>
      <c r="AK2035" s="4"/>
      <c r="AL2035" s="4"/>
      <c r="AM2035" s="4"/>
      <c r="AN2035" s="4"/>
      <c r="AO2035" s="4"/>
      <c r="AP2035" s="4"/>
      <c r="AQ2035" s="4"/>
      <c r="AR2035" s="4"/>
      <c r="AS2035" s="4"/>
      <c r="AT2035" s="4"/>
      <c r="AU2035" s="4"/>
      <c r="AV2035" s="4"/>
    </row>
    <row r="2036" spans="4:48" x14ac:dyDescent="0.3">
      <c r="D2036" s="5"/>
      <c r="E2036" s="5"/>
      <c r="F2036" s="20"/>
      <c r="G2036" s="20"/>
      <c r="H2036" s="5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4"/>
      <c r="T2036" s="4"/>
      <c r="U2036" s="4"/>
      <c r="V2036" s="4"/>
      <c r="W2036" s="4"/>
      <c r="X2036" s="4"/>
      <c r="Y2036" s="4"/>
      <c r="Z2036" s="4"/>
      <c r="AA2036" s="4"/>
      <c r="AB2036" s="4"/>
      <c r="AC2036" s="4"/>
      <c r="AD2036" s="4"/>
      <c r="AE2036" s="4"/>
      <c r="AF2036" s="4"/>
      <c r="AG2036" s="4"/>
      <c r="AH2036" s="4"/>
      <c r="AI2036" s="4"/>
      <c r="AJ2036" s="4"/>
      <c r="AK2036" s="4"/>
      <c r="AL2036" s="4"/>
      <c r="AM2036" s="4"/>
      <c r="AN2036" s="4"/>
      <c r="AO2036" s="4"/>
      <c r="AP2036" s="4"/>
      <c r="AQ2036" s="4"/>
      <c r="AR2036" s="4"/>
      <c r="AS2036" s="4"/>
      <c r="AT2036" s="4"/>
      <c r="AU2036" s="4"/>
      <c r="AV2036" s="4"/>
    </row>
    <row r="2037" spans="4:48" x14ac:dyDescent="0.3">
      <c r="D2037" s="5"/>
      <c r="E2037" s="5"/>
      <c r="F2037" s="20"/>
      <c r="G2037" s="20"/>
      <c r="H2037" s="5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4"/>
      <c r="T2037" s="4"/>
      <c r="U2037" s="4"/>
      <c r="V2037" s="4"/>
      <c r="W2037" s="4"/>
      <c r="X2037" s="4"/>
      <c r="Y2037" s="4"/>
      <c r="Z2037" s="4"/>
      <c r="AA2037" s="4"/>
      <c r="AB2037" s="4"/>
      <c r="AC2037" s="4"/>
      <c r="AD2037" s="4"/>
      <c r="AE2037" s="4"/>
      <c r="AF2037" s="4"/>
      <c r="AG2037" s="4"/>
      <c r="AH2037" s="4"/>
      <c r="AI2037" s="4"/>
      <c r="AJ2037" s="4"/>
      <c r="AK2037" s="4"/>
      <c r="AL2037" s="4"/>
      <c r="AM2037" s="4"/>
      <c r="AN2037" s="4"/>
      <c r="AO2037" s="4"/>
      <c r="AP2037" s="4"/>
      <c r="AQ2037" s="4"/>
      <c r="AR2037" s="4"/>
      <c r="AS2037" s="4"/>
      <c r="AT2037" s="4"/>
      <c r="AU2037" s="4"/>
      <c r="AV2037" s="4"/>
    </row>
    <row r="2038" spans="4:48" x14ac:dyDescent="0.3">
      <c r="D2038" s="5"/>
      <c r="E2038" s="5"/>
      <c r="F2038" s="20"/>
      <c r="G2038" s="20"/>
      <c r="H2038" s="5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4"/>
      <c r="T2038" s="4"/>
      <c r="U2038" s="4"/>
      <c r="V2038" s="4"/>
      <c r="W2038" s="4"/>
      <c r="X2038" s="4"/>
      <c r="Y2038" s="4"/>
      <c r="Z2038" s="4"/>
      <c r="AA2038" s="4"/>
      <c r="AB2038" s="4"/>
      <c r="AC2038" s="4"/>
      <c r="AD2038" s="4"/>
      <c r="AE2038" s="4"/>
      <c r="AF2038" s="4"/>
      <c r="AG2038" s="4"/>
      <c r="AH2038" s="4"/>
      <c r="AI2038" s="4"/>
      <c r="AJ2038" s="4"/>
      <c r="AK2038" s="4"/>
      <c r="AL2038" s="4"/>
      <c r="AM2038" s="4"/>
      <c r="AN2038" s="4"/>
      <c r="AO2038" s="4"/>
      <c r="AP2038" s="4"/>
      <c r="AQ2038" s="4"/>
      <c r="AR2038" s="4"/>
      <c r="AS2038" s="4"/>
      <c r="AT2038" s="4"/>
      <c r="AU2038" s="4"/>
      <c r="AV2038" s="4"/>
    </row>
    <row r="2039" spans="4:48" x14ac:dyDescent="0.3">
      <c r="D2039" s="5"/>
      <c r="E2039" s="5"/>
      <c r="F2039" s="20"/>
      <c r="G2039" s="20"/>
      <c r="H2039" s="5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4"/>
      <c r="T2039" s="4"/>
      <c r="U2039" s="4"/>
      <c r="V2039" s="4"/>
      <c r="W2039" s="4"/>
      <c r="X2039" s="4"/>
      <c r="Y2039" s="4"/>
      <c r="Z2039" s="4"/>
      <c r="AA2039" s="4"/>
      <c r="AB2039" s="4"/>
      <c r="AC2039" s="4"/>
      <c r="AD2039" s="4"/>
      <c r="AE2039" s="4"/>
      <c r="AF2039" s="4"/>
      <c r="AG2039" s="4"/>
      <c r="AH2039" s="4"/>
      <c r="AI2039" s="4"/>
      <c r="AJ2039" s="4"/>
      <c r="AK2039" s="4"/>
      <c r="AL2039" s="4"/>
      <c r="AM2039" s="4"/>
      <c r="AN2039" s="4"/>
      <c r="AO2039" s="4"/>
      <c r="AP2039" s="4"/>
      <c r="AQ2039" s="4"/>
      <c r="AR2039" s="4"/>
      <c r="AS2039" s="4"/>
      <c r="AT2039" s="4"/>
      <c r="AU2039" s="4"/>
      <c r="AV2039" s="4"/>
    </row>
    <row r="2040" spans="4:48" x14ac:dyDescent="0.3">
      <c r="D2040" s="5"/>
      <c r="E2040" s="5"/>
      <c r="F2040" s="20"/>
      <c r="G2040" s="20"/>
      <c r="H2040" s="5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4"/>
      <c r="T2040" s="4"/>
      <c r="U2040" s="4"/>
      <c r="V2040" s="4"/>
      <c r="W2040" s="4"/>
      <c r="X2040" s="4"/>
      <c r="Y2040" s="4"/>
      <c r="Z2040" s="4"/>
      <c r="AA2040" s="4"/>
      <c r="AB2040" s="4"/>
      <c r="AC2040" s="4"/>
      <c r="AD2040" s="4"/>
      <c r="AE2040" s="4"/>
      <c r="AF2040" s="4"/>
      <c r="AG2040" s="4"/>
      <c r="AH2040" s="4"/>
      <c r="AI2040" s="4"/>
      <c r="AJ2040" s="4"/>
      <c r="AK2040" s="4"/>
      <c r="AL2040" s="4"/>
      <c r="AM2040" s="4"/>
      <c r="AN2040" s="4"/>
      <c r="AO2040" s="4"/>
      <c r="AP2040" s="4"/>
      <c r="AQ2040" s="4"/>
      <c r="AR2040" s="4"/>
      <c r="AS2040" s="4"/>
      <c r="AT2040" s="4"/>
      <c r="AU2040" s="4"/>
      <c r="AV2040" s="4"/>
    </row>
    <row r="2041" spans="4:48" x14ac:dyDescent="0.3">
      <c r="D2041" s="5"/>
      <c r="E2041" s="5"/>
      <c r="F2041" s="20"/>
      <c r="G2041" s="20"/>
      <c r="H2041" s="5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4"/>
      <c r="T2041" s="4"/>
      <c r="U2041" s="4"/>
      <c r="V2041" s="4"/>
      <c r="W2041" s="4"/>
      <c r="X2041" s="4"/>
      <c r="Y2041" s="4"/>
      <c r="Z2041" s="4"/>
      <c r="AA2041" s="4"/>
      <c r="AB2041" s="4"/>
      <c r="AC2041" s="4"/>
      <c r="AD2041" s="4"/>
      <c r="AE2041" s="4"/>
      <c r="AF2041" s="4"/>
      <c r="AG2041" s="4"/>
      <c r="AH2041" s="4"/>
      <c r="AI2041" s="4"/>
      <c r="AJ2041" s="4"/>
      <c r="AK2041" s="4"/>
      <c r="AL2041" s="4"/>
      <c r="AM2041" s="4"/>
      <c r="AN2041" s="4"/>
      <c r="AO2041" s="4"/>
      <c r="AP2041" s="4"/>
      <c r="AQ2041" s="4"/>
      <c r="AR2041" s="4"/>
      <c r="AS2041" s="4"/>
      <c r="AT2041" s="4"/>
      <c r="AU2041" s="4"/>
      <c r="AV2041" s="4"/>
    </row>
    <row r="2042" spans="4:48" x14ac:dyDescent="0.3">
      <c r="D2042" s="5"/>
      <c r="E2042" s="5"/>
      <c r="F2042" s="20"/>
      <c r="G2042" s="20"/>
      <c r="H2042" s="5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4"/>
      <c r="T2042" s="4"/>
      <c r="U2042" s="4"/>
      <c r="V2042" s="4"/>
      <c r="W2042" s="4"/>
      <c r="X2042" s="4"/>
      <c r="Y2042" s="4"/>
      <c r="Z2042" s="4"/>
      <c r="AA2042" s="4"/>
      <c r="AB2042" s="4"/>
      <c r="AC2042" s="4"/>
      <c r="AD2042" s="4"/>
      <c r="AE2042" s="4"/>
      <c r="AF2042" s="4"/>
      <c r="AG2042" s="4"/>
      <c r="AH2042" s="4"/>
      <c r="AI2042" s="4"/>
      <c r="AJ2042" s="4"/>
      <c r="AK2042" s="4"/>
      <c r="AL2042" s="4"/>
      <c r="AM2042" s="4"/>
      <c r="AN2042" s="4"/>
      <c r="AO2042" s="4"/>
      <c r="AP2042" s="4"/>
      <c r="AQ2042" s="4"/>
      <c r="AR2042" s="4"/>
      <c r="AS2042" s="4"/>
      <c r="AT2042" s="4"/>
      <c r="AU2042" s="4"/>
      <c r="AV2042" s="4"/>
    </row>
    <row r="2043" spans="4:48" x14ac:dyDescent="0.3">
      <c r="D2043" s="5"/>
      <c r="E2043" s="5"/>
      <c r="F2043" s="20"/>
      <c r="G2043" s="20"/>
      <c r="H2043" s="5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4"/>
      <c r="T2043" s="4"/>
      <c r="U2043" s="4"/>
      <c r="V2043" s="4"/>
      <c r="W2043" s="4"/>
      <c r="X2043" s="4"/>
      <c r="Y2043" s="4"/>
      <c r="Z2043" s="4"/>
      <c r="AA2043" s="4"/>
      <c r="AB2043" s="4"/>
      <c r="AC2043" s="4"/>
      <c r="AD2043" s="4"/>
      <c r="AE2043" s="4"/>
      <c r="AF2043" s="4"/>
      <c r="AG2043" s="4"/>
      <c r="AH2043" s="4"/>
      <c r="AI2043" s="4"/>
      <c r="AJ2043" s="4"/>
      <c r="AK2043" s="4"/>
      <c r="AL2043" s="4"/>
      <c r="AM2043" s="4"/>
      <c r="AN2043" s="4"/>
      <c r="AO2043" s="4"/>
      <c r="AP2043" s="4"/>
      <c r="AQ2043" s="4"/>
      <c r="AR2043" s="4"/>
      <c r="AS2043" s="4"/>
      <c r="AT2043" s="4"/>
      <c r="AU2043" s="4"/>
      <c r="AV2043" s="4"/>
    </row>
    <row r="2044" spans="4:48" x14ac:dyDescent="0.3">
      <c r="D2044" s="5"/>
      <c r="E2044" s="5"/>
      <c r="F2044" s="20"/>
      <c r="G2044" s="20"/>
      <c r="H2044" s="5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4"/>
      <c r="T2044" s="4"/>
      <c r="U2044" s="4"/>
      <c r="V2044" s="4"/>
      <c r="W2044" s="4"/>
      <c r="X2044" s="4"/>
      <c r="Y2044" s="4"/>
      <c r="Z2044" s="4"/>
      <c r="AA2044" s="4"/>
      <c r="AB2044" s="4"/>
      <c r="AC2044" s="4"/>
      <c r="AD2044" s="4"/>
      <c r="AE2044" s="4"/>
      <c r="AF2044" s="4"/>
      <c r="AG2044" s="4"/>
      <c r="AH2044" s="4"/>
      <c r="AI2044" s="4"/>
      <c r="AJ2044" s="4"/>
      <c r="AK2044" s="4"/>
      <c r="AL2044" s="4"/>
      <c r="AM2044" s="4"/>
      <c r="AN2044" s="4"/>
      <c r="AO2044" s="4"/>
      <c r="AP2044" s="4"/>
      <c r="AQ2044" s="4"/>
      <c r="AR2044" s="4"/>
      <c r="AS2044" s="4"/>
      <c r="AT2044" s="4"/>
      <c r="AU2044" s="4"/>
      <c r="AV2044" s="4"/>
    </row>
    <row r="2045" spans="4:48" x14ac:dyDescent="0.3">
      <c r="D2045" s="5"/>
      <c r="E2045" s="5"/>
      <c r="F2045" s="20"/>
      <c r="G2045" s="20"/>
      <c r="H2045" s="5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4"/>
      <c r="T2045" s="4"/>
      <c r="U2045" s="4"/>
      <c r="V2045" s="4"/>
      <c r="W2045" s="4"/>
      <c r="X2045" s="4"/>
      <c r="Y2045" s="4"/>
      <c r="Z2045" s="4"/>
      <c r="AA2045" s="4"/>
      <c r="AB2045" s="4"/>
      <c r="AC2045" s="4"/>
      <c r="AD2045" s="4"/>
      <c r="AE2045" s="4"/>
      <c r="AF2045" s="4"/>
      <c r="AG2045" s="4"/>
      <c r="AH2045" s="4"/>
      <c r="AI2045" s="4"/>
      <c r="AJ2045" s="4"/>
      <c r="AK2045" s="4"/>
      <c r="AL2045" s="4"/>
      <c r="AM2045" s="4"/>
      <c r="AN2045" s="4"/>
      <c r="AO2045" s="4"/>
      <c r="AP2045" s="4"/>
      <c r="AQ2045" s="4"/>
      <c r="AR2045" s="4"/>
      <c r="AS2045" s="4"/>
      <c r="AT2045" s="4"/>
      <c r="AU2045" s="4"/>
      <c r="AV2045" s="4"/>
    </row>
    <row r="2046" spans="4:48" x14ac:dyDescent="0.3">
      <c r="D2046" s="5"/>
      <c r="E2046" s="5"/>
      <c r="F2046" s="20"/>
      <c r="G2046" s="20"/>
      <c r="H2046" s="5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4"/>
      <c r="T2046" s="4"/>
      <c r="U2046" s="4"/>
      <c r="V2046" s="4"/>
      <c r="W2046" s="4"/>
      <c r="X2046" s="4"/>
      <c r="Y2046" s="4"/>
      <c r="Z2046" s="4"/>
      <c r="AA2046" s="4"/>
      <c r="AB2046" s="4"/>
      <c r="AC2046" s="4"/>
      <c r="AD2046" s="4"/>
      <c r="AE2046" s="4"/>
      <c r="AF2046" s="4"/>
      <c r="AG2046" s="4"/>
      <c r="AH2046" s="4"/>
      <c r="AI2046" s="4"/>
      <c r="AJ2046" s="4"/>
      <c r="AK2046" s="4"/>
      <c r="AL2046" s="4"/>
      <c r="AM2046" s="4"/>
      <c r="AN2046" s="4"/>
      <c r="AO2046" s="4"/>
      <c r="AP2046" s="4"/>
      <c r="AQ2046" s="4"/>
      <c r="AR2046" s="4"/>
      <c r="AS2046" s="4"/>
      <c r="AT2046" s="4"/>
      <c r="AU2046" s="4"/>
      <c r="AV2046" s="4"/>
    </row>
    <row r="2047" spans="4:48" x14ac:dyDescent="0.3">
      <c r="D2047" s="5"/>
      <c r="E2047" s="5"/>
      <c r="F2047" s="20"/>
      <c r="G2047" s="20"/>
      <c r="H2047" s="5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4"/>
      <c r="T2047" s="4"/>
      <c r="U2047" s="4"/>
      <c r="V2047" s="4"/>
      <c r="W2047" s="4"/>
      <c r="X2047" s="4"/>
      <c r="Y2047" s="4"/>
      <c r="Z2047" s="4"/>
      <c r="AA2047" s="4"/>
      <c r="AB2047" s="4"/>
      <c r="AC2047" s="4"/>
      <c r="AD2047" s="4"/>
      <c r="AE2047" s="4"/>
      <c r="AF2047" s="4"/>
      <c r="AG2047" s="4"/>
      <c r="AH2047" s="4"/>
      <c r="AI2047" s="4"/>
      <c r="AJ2047" s="4"/>
      <c r="AK2047" s="4"/>
      <c r="AL2047" s="4"/>
      <c r="AM2047" s="4"/>
      <c r="AN2047" s="4"/>
      <c r="AO2047" s="4"/>
      <c r="AP2047" s="4"/>
      <c r="AQ2047" s="4"/>
      <c r="AR2047" s="4"/>
      <c r="AS2047" s="4"/>
      <c r="AT2047" s="4"/>
      <c r="AU2047" s="4"/>
      <c r="AV2047" s="4"/>
    </row>
    <row r="2048" spans="4:48" x14ac:dyDescent="0.3">
      <c r="D2048" s="5"/>
      <c r="E2048" s="5"/>
      <c r="F2048" s="20"/>
      <c r="G2048" s="20"/>
      <c r="H2048" s="5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4"/>
      <c r="T2048" s="4"/>
      <c r="U2048" s="4"/>
      <c r="V2048" s="4"/>
      <c r="W2048" s="4"/>
      <c r="X2048" s="4"/>
      <c r="Y2048" s="4"/>
      <c r="Z2048" s="4"/>
      <c r="AA2048" s="4"/>
      <c r="AB2048" s="4"/>
      <c r="AC2048" s="4"/>
      <c r="AD2048" s="4"/>
      <c r="AE2048" s="4"/>
      <c r="AF2048" s="4"/>
      <c r="AG2048" s="4"/>
      <c r="AH2048" s="4"/>
      <c r="AI2048" s="4"/>
      <c r="AJ2048" s="4"/>
      <c r="AK2048" s="4"/>
      <c r="AL2048" s="4"/>
      <c r="AM2048" s="4"/>
      <c r="AN2048" s="4"/>
      <c r="AO2048" s="4"/>
      <c r="AP2048" s="4"/>
      <c r="AQ2048" s="4"/>
      <c r="AR2048" s="4"/>
      <c r="AS2048" s="4"/>
      <c r="AT2048" s="4"/>
      <c r="AU2048" s="4"/>
      <c r="AV2048" s="4"/>
    </row>
    <row r="2049" spans="4:48" x14ac:dyDescent="0.3">
      <c r="D2049" s="5"/>
      <c r="E2049" s="5"/>
      <c r="F2049" s="20"/>
      <c r="G2049" s="20"/>
      <c r="H2049" s="5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4"/>
      <c r="T2049" s="4"/>
      <c r="U2049" s="4"/>
      <c r="V2049" s="4"/>
      <c r="W2049" s="4"/>
      <c r="X2049" s="4"/>
      <c r="Y2049" s="4"/>
      <c r="Z2049" s="4"/>
      <c r="AA2049" s="4"/>
      <c r="AB2049" s="4"/>
      <c r="AC2049" s="4"/>
      <c r="AD2049" s="4"/>
      <c r="AE2049" s="4"/>
      <c r="AF2049" s="4"/>
      <c r="AG2049" s="4"/>
      <c r="AH2049" s="4"/>
      <c r="AI2049" s="4"/>
      <c r="AJ2049" s="4"/>
      <c r="AK2049" s="4"/>
      <c r="AL2049" s="4"/>
      <c r="AM2049" s="4"/>
      <c r="AN2049" s="4"/>
      <c r="AO2049" s="4"/>
      <c r="AP2049" s="4"/>
      <c r="AQ2049" s="4"/>
      <c r="AR2049" s="4"/>
      <c r="AS2049" s="4"/>
      <c r="AT2049" s="4"/>
      <c r="AU2049" s="4"/>
      <c r="AV2049" s="4"/>
    </row>
    <row r="2050" spans="4:48" x14ac:dyDescent="0.3">
      <c r="D2050" s="5"/>
      <c r="E2050" s="5"/>
      <c r="F2050" s="20"/>
      <c r="G2050" s="20"/>
      <c r="H2050" s="5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4"/>
      <c r="T2050" s="4"/>
      <c r="U2050" s="4"/>
      <c r="V2050" s="4"/>
      <c r="W2050" s="4"/>
      <c r="X2050" s="4"/>
      <c r="Y2050" s="4"/>
      <c r="Z2050" s="4"/>
      <c r="AA2050" s="4"/>
      <c r="AB2050" s="4"/>
      <c r="AC2050" s="4"/>
      <c r="AD2050" s="4"/>
      <c r="AE2050" s="4"/>
      <c r="AF2050" s="4"/>
      <c r="AG2050" s="4"/>
      <c r="AH2050" s="4"/>
      <c r="AI2050" s="4"/>
      <c r="AJ2050" s="4"/>
      <c r="AK2050" s="4"/>
      <c r="AL2050" s="4"/>
      <c r="AM2050" s="4"/>
      <c r="AN2050" s="4"/>
      <c r="AO2050" s="4"/>
      <c r="AP2050" s="4"/>
      <c r="AQ2050" s="4"/>
      <c r="AR2050" s="4"/>
      <c r="AS2050" s="4"/>
      <c r="AT2050" s="4"/>
      <c r="AU2050" s="4"/>
      <c r="AV2050" s="4"/>
    </row>
    <row r="2051" spans="4:48" x14ac:dyDescent="0.3">
      <c r="D2051" s="5"/>
      <c r="E2051" s="5"/>
      <c r="F2051" s="20"/>
      <c r="G2051" s="20"/>
      <c r="H2051" s="5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4"/>
      <c r="T2051" s="4"/>
      <c r="U2051" s="4"/>
      <c r="V2051" s="4"/>
      <c r="W2051" s="4"/>
      <c r="X2051" s="4"/>
      <c r="Y2051" s="4"/>
      <c r="Z2051" s="4"/>
      <c r="AA2051" s="4"/>
      <c r="AB2051" s="4"/>
      <c r="AC2051" s="4"/>
      <c r="AD2051" s="4"/>
      <c r="AE2051" s="4"/>
      <c r="AF2051" s="4"/>
      <c r="AG2051" s="4"/>
      <c r="AH2051" s="4"/>
      <c r="AI2051" s="4"/>
      <c r="AJ2051" s="4"/>
      <c r="AK2051" s="4"/>
      <c r="AL2051" s="4"/>
      <c r="AM2051" s="4"/>
      <c r="AN2051" s="4"/>
      <c r="AO2051" s="4"/>
      <c r="AP2051" s="4"/>
      <c r="AQ2051" s="4"/>
      <c r="AR2051" s="4"/>
      <c r="AS2051" s="4"/>
      <c r="AT2051" s="4"/>
      <c r="AU2051" s="4"/>
      <c r="AV2051" s="4"/>
    </row>
    <row r="2052" spans="4:48" x14ac:dyDescent="0.3">
      <c r="D2052" s="5"/>
      <c r="E2052" s="5"/>
      <c r="F2052" s="20"/>
      <c r="G2052" s="20"/>
      <c r="H2052" s="5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4"/>
      <c r="T2052" s="4"/>
      <c r="U2052" s="4"/>
      <c r="V2052" s="4"/>
      <c r="W2052" s="4"/>
      <c r="X2052" s="4"/>
      <c r="Y2052" s="4"/>
      <c r="Z2052" s="4"/>
      <c r="AA2052" s="4"/>
      <c r="AB2052" s="4"/>
      <c r="AC2052" s="4"/>
      <c r="AD2052" s="4"/>
      <c r="AE2052" s="4"/>
      <c r="AF2052" s="4"/>
      <c r="AG2052" s="4"/>
      <c r="AH2052" s="4"/>
      <c r="AI2052" s="4"/>
      <c r="AJ2052" s="4"/>
      <c r="AK2052" s="4"/>
      <c r="AL2052" s="4"/>
      <c r="AM2052" s="4"/>
      <c r="AN2052" s="4"/>
      <c r="AO2052" s="4"/>
      <c r="AP2052" s="4"/>
      <c r="AQ2052" s="4"/>
      <c r="AR2052" s="4"/>
      <c r="AS2052" s="4"/>
      <c r="AT2052" s="4"/>
      <c r="AU2052" s="4"/>
      <c r="AV2052" s="4"/>
    </row>
    <row r="2053" spans="4:48" x14ac:dyDescent="0.3">
      <c r="D2053" s="5"/>
      <c r="E2053" s="5"/>
      <c r="F2053" s="20"/>
      <c r="G2053" s="20"/>
      <c r="H2053" s="5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4"/>
      <c r="T2053" s="4"/>
      <c r="U2053" s="4"/>
      <c r="V2053" s="4"/>
      <c r="W2053" s="4"/>
      <c r="X2053" s="4"/>
      <c r="Y2053" s="4"/>
      <c r="Z2053" s="4"/>
      <c r="AA2053" s="4"/>
      <c r="AB2053" s="4"/>
      <c r="AC2053" s="4"/>
      <c r="AD2053" s="4"/>
      <c r="AE2053" s="4"/>
      <c r="AF2053" s="4"/>
      <c r="AG2053" s="4"/>
      <c r="AH2053" s="4"/>
      <c r="AI2053" s="4"/>
      <c r="AJ2053" s="4"/>
      <c r="AK2053" s="4"/>
      <c r="AL2053" s="4"/>
      <c r="AM2053" s="4"/>
      <c r="AN2053" s="4"/>
      <c r="AO2053" s="4"/>
      <c r="AP2053" s="4"/>
      <c r="AQ2053" s="4"/>
      <c r="AR2053" s="4"/>
      <c r="AS2053" s="4"/>
      <c r="AT2053" s="4"/>
      <c r="AU2053" s="4"/>
      <c r="AV2053" s="4"/>
    </row>
    <row r="2054" spans="4:48" x14ac:dyDescent="0.3">
      <c r="D2054" s="5"/>
      <c r="E2054" s="5"/>
      <c r="F2054" s="20"/>
      <c r="G2054" s="20"/>
      <c r="H2054" s="5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4"/>
      <c r="T2054" s="4"/>
      <c r="U2054" s="4"/>
      <c r="V2054" s="4"/>
      <c r="W2054" s="4"/>
      <c r="X2054" s="4"/>
      <c r="Y2054" s="4"/>
      <c r="Z2054" s="4"/>
      <c r="AA2054" s="4"/>
      <c r="AB2054" s="4"/>
      <c r="AC2054" s="4"/>
      <c r="AD2054" s="4"/>
      <c r="AE2054" s="4"/>
      <c r="AF2054" s="4"/>
      <c r="AG2054" s="4"/>
      <c r="AH2054" s="4"/>
      <c r="AI2054" s="4"/>
      <c r="AJ2054" s="4"/>
      <c r="AK2054" s="4"/>
      <c r="AL2054" s="4"/>
      <c r="AM2054" s="4"/>
      <c r="AN2054" s="4"/>
      <c r="AO2054" s="4"/>
      <c r="AP2054" s="4"/>
      <c r="AQ2054" s="4"/>
      <c r="AR2054" s="4"/>
      <c r="AS2054" s="4"/>
      <c r="AT2054" s="4"/>
      <c r="AU2054" s="4"/>
      <c r="AV2054" s="4"/>
    </row>
    <row r="2055" spans="4:48" x14ac:dyDescent="0.3">
      <c r="D2055" s="5"/>
      <c r="E2055" s="5"/>
      <c r="F2055" s="20"/>
      <c r="G2055" s="20"/>
      <c r="H2055" s="5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4"/>
      <c r="T2055" s="4"/>
      <c r="U2055" s="4"/>
      <c r="V2055" s="4"/>
      <c r="W2055" s="4"/>
      <c r="X2055" s="4"/>
      <c r="Y2055" s="4"/>
      <c r="Z2055" s="4"/>
      <c r="AA2055" s="4"/>
      <c r="AB2055" s="4"/>
      <c r="AC2055" s="4"/>
      <c r="AD2055" s="4"/>
      <c r="AE2055" s="4"/>
      <c r="AF2055" s="4"/>
      <c r="AG2055" s="4"/>
      <c r="AH2055" s="4"/>
      <c r="AI2055" s="4"/>
      <c r="AJ2055" s="4"/>
      <c r="AK2055" s="4"/>
      <c r="AL2055" s="4"/>
      <c r="AM2055" s="4"/>
      <c r="AN2055" s="4"/>
      <c r="AO2055" s="4"/>
      <c r="AP2055" s="4"/>
      <c r="AQ2055" s="4"/>
      <c r="AR2055" s="4"/>
      <c r="AS2055" s="4"/>
      <c r="AT2055" s="4"/>
      <c r="AU2055" s="4"/>
      <c r="AV2055" s="4"/>
    </row>
    <row r="2056" spans="4:48" x14ac:dyDescent="0.3">
      <c r="D2056" s="5"/>
      <c r="E2056" s="5"/>
      <c r="F2056" s="20"/>
      <c r="G2056" s="20"/>
      <c r="H2056" s="5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4"/>
      <c r="T2056" s="4"/>
      <c r="U2056" s="4"/>
      <c r="V2056" s="4"/>
      <c r="W2056" s="4"/>
      <c r="X2056" s="4"/>
      <c r="Y2056" s="4"/>
      <c r="Z2056" s="4"/>
      <c r="AA2056" s="4"/>
      <c r="AB2056" s="4"/>
      <c r="AC2056" s="4"/>
      <c r="AD2056" s="4"/>
      <c r="AE2056" s="4"/>
      <c r="AF2056" s="4"/>
      <c r="AG2056" s="4"/>
      <c r="AH2056" s="4"/>
      <c r="AI2056" s="4"/>
      <c r="AJ2056" s="4"/>
      <c r="AK2056" s="4"/>
      <c r="AL2056" s="4"/>
      <c r="AM2056" s="4"/>
      <c r="AN2056" s="4"/>
      <c r="AO2056" s="4"/>
      <c r="AP2056" s="4"/>
      <c r="AQ2056" s="4"/>
      <c r="AR2056" s="4"/>
      <c r="AS2056" s="4"/>
      <c r="AT2056" s="4"/>
      <c r="AU2056" s="4"/>
      <c r="AV2056" s="4"/>
    </row>
    <row r="2057" spans="4:48" x14ac:dyDescent="0.3">
      <c r="D2057" s="5"/>
      <c r="E2057" s="5"/>
      <c r="F2057" s="20"/>
      <c r="G2057" s="20"/>
      <c r="H2057" s="5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4"/>
      <c r="T2057" s="4"/>
      <c r="U2057" s="4"/>
      <c r="V2057" s="4"/>
      <c r="W2057" s="4"/>
      <c r="X2057" s="4"/>
      <c r="Y2057" s="4"/>
      <c r="Z2057" s="4"/>
      <c r="AA2057" s="4"/>
      <c r="AB2057" s="4"/>
      <c r="AC2057" s="4"/>
      <c r="AD2057" s="4"/>
      <c r="AE2057" s="4"/>
      <c r="AF2057" s="4"/>
      <c r="AG2057" s="4"/>
      <c r="AH2057" s="4"/>
      <c r="AI2057" s="4"/>
      <c r="AJ2057" s="4"/>
      <c r="AK2057" s="4"/>
      <c r="AL2057" s="4"/>
      <c r="AM2057" s="4"/>
      <c r="AN2057" s="4"/>
      <c r="AO2057" s="4"/>
      <c r="AP2057" s="4"/>
      <c r="AQ2057" s="4"/>
      <c r="AR2057" s="4"/>
      <c r="AS2057" s="4"/>
      <c r="AT2057" s="4"/>
      <c r="AU2057" s="4"/>
      <c r="AV2057" s="4"/>
    </row>
    <row r="2058" spans="4:48" x14ac:dyDescent="0.3">
      <c r="D2058" s="5"/>
      <c r="E2058" s="5"/>
      <c r="F2058" s="20"/>
      <c r="G2058" s="20"/>
      <c r="H2058" s="5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4"/>
      <c r="T2058" s="4"/>
      <c r="U2058" s="4"/>
      <c r="V2058" s="4"/>
      <c r="W2058" s="4"/>
      <c r="X2058" s="4"/>
      <c r="Y2058" s="4"/>
      <c r="Z2058" s="4"/>
      <c r="AA2058" s="4"/>
      <c r="AB2058" s="4"/>
      <c r="AC2058" s="4"/>
      <c r="AD2058" s="4"/>
      <c r="AE2058" s="4"/>
      <c r="AF2058" s="4"/>
      <c r="AG2058" s="4"/>
      <c r="AH2058" s="4"/>
      <c r="AI2058" s="4"/>
      <c r="AJ2058" s="4"/>
      <c r="AK2058" s="4"/>
      <c r="AL2058" s="4"/>
      <c r="AM2058" s="4"/>
      <c r="AN2058" s="4"/>
      <c r="AO2058" s="4"/>
      <c r="AP2058" s="4"/>
      <c r="AQ2058" s="4"/>
      <c r="AR2058" s="4"/>
      <c r="AS2058" s="4"/>
      <c r="AT2058" s="4"/>
      <c r="AU2058" s="4"/>
      <c r="AV2058" s="4"/>
    </row>
    <row r="2059" spans="4:48" x14ac:dyDescent="0.3">
      <c r="D2059" s="5"/>
      <c r="E2059" s="5"/>
      <c r="F2059" s="20"/>
      <c r="G2059" s="20"/>
      <c r="H2059" s="5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4"/>
      <c r="T2059" s="4"/>
      <c r="U2059" s="4"/>
      <c r="V2059" s="4"/>
      <c r="W2059" s="4"/>
      <c r="X2059" s="4"/>
      <c r="Y2059" s="4"/>
      <c r="Z2059" s="4"/>
      <c r="AA2059" s="4"/>
      <c r="AB2059" s="4"/>
      <c r="AC2059" s="4"/>
      <c r="AD2059" s="4"/>
      <c r="AE2059" s="4"/>
      <c r="AF2059" s="4"/>
      <c r="AG2059" s="4"/>
      <c r="AH2059" s="4"/>
      <c r="AI2059" s="4"/>
      <c r="AJ2059" s="4"/>
      <c r="AK2059" s="4"/>
      <c r="AL2059" s="4"/>
      <c r="AM2059" s="4"/>
      <c r="AN2059" s="4"/>
      <c r="AO2059" s="4"/>
      <c r="AP2059" s="4"/>
      <c r="AQ2059" s="4"/>
      <c r="AR2059" s="4"/>
      <c r="AS2059" s="4"/>
      <c r="AT2059" s="4"/>
      <c r="AU2059" s="4"/>
      <c r="AV2059" s="4"/>
    </row>
    <row r="2060" spans="4:48" x14ac:dyDescent="0.3">
      <c r="D2060" s="5"/>
      <c r="E2060" s="5"/>
      <c r="F2060" s="20"/>
      <c r="G2060" s="20"/>
      <c r="H2060" s="5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4"/>
      <c r="T2060" s="4"/>
      <c r="U2060" s="4"/>
      <c r="V2060" s="4"/>
      <c r="W2060" s="4"/>
      <c r="X2060" s="4"/>
      <c r="Y2060" s="4"/>
      <c r="Z2060" s="4"/>
      <c r="AA2060" s="4"/>
      <c r="AB2060" s="4"/>
      <c r="AC2060" s="4"/>
      <c r="AD2060" s="4"/>
      <c r="AE2060" s="4"/>
      <c r="AF2060" s="4"/>
      <c r="AG2060" s="4"/>
      <c r="AH2060" s="4"/>
      <c r="AI2060" s="4"/>
      <c r="AJ2060" s="4"/>
      <c r="AK2060" s="4"/>
      <c r="AL2060" s="4"/>
      <c r="AM2060" s="4"/>
      <c r="AN2060" s="4"/>
      <c r="AO2060" s="4"/>
      <c r="AP2060" s="4"/>
      <c r="AQ2060" s="4"/>
      <c r="AR2060" s="4"/>
      <c r="AS2060" s="4"/>
      <c r="AT2060" s="4"/>
      <c r="AU2060" s="4"/>
      <c r="AV2060" s="4"/>
    </row>
    <row r="2061" spans="4:48" x14ac:dyDescent="0.3">
      <c r="D2061" s="5"/>
      <c r="E2061" s="5"/>
      <c r="F2061" s="20"/>
      <c r="G2061" s="20"/>
      <c r="H2061" s="5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4"/>
      <c r="T2061" s="4"/>
      <c r="U2061" s="4"/>
      <c r="V2061" s="4"/>
      <c r="W2061" s="4"/>
      <c r="X2061" s="4"/>
      <c r="Y2061" s="4"/>
      <c r="Z2061" s="4"/>
      <c r="AA2061" s="4"/>
      <c r="AB2061" s="4"/>
      <c r="AC2061" s="4"/>
      <c r="AD2061" s="4"/>
      <c r="AE2061" s="4"/>
      <c r="AF2061" s="4"/>
      <c r="AG2061" s="4"/>
      <c r="AH2061" s="4"/>
      <c r="AI2061" s="4"/>
      <c r="AJ2061" s="4"/>
      <c r="AK2061" s="4"/>
      <c r="AL2061" s="4"/>
      <c r="AM2061" s="4"/>
      <c r="AN2061" s="4"/>
      <c r="AO2061" s="4"/>
      <c r="AP2061" s="4"/>
      <c r="AQ2061" s="4"/>
      <c r="AR2061" s="4"/>
      <c r="AS2061" s="4"/>
      <c r="AT2061" s="4"/>
      <c r="AU2061" s="4"/>
      <c r="AV2061" s="4"/>
    </row>
    <row r="2062" spans="4:48" x14ac:dyDescent="0.3">
      <c r="D2062" s="5"/>
      <c r="E2062" s="5"/>
      <c r="F2062" s="20"/>
      <c r="G2062" s="20"/>
      <c r="H2062" s="5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4"/>
      <c r="T2062" s="4"/>
      <c r="U2062" s="4"/>
      <c r="V2062" s="4"/>
      <c r="W2062" s="4"/>
      <c r="X2062" s="4"/>
      <c r="Y2062" s="4"/>
      <c r="Z2062" s="4"/>
      <c r="AA2062" s="4"/>
      <c r="AB2062" s="4"/>
      <c r="AC2062" s="4"/>
      <c r="AD2062" s="4"/>
      <c r="AE2062" s="4"/>
      <c r="AF2062" s="4"/>
      <c r="AG2062" s="4"/>
      <c r="AH2062" s="4"/>
      <c r="AI2062" s="4"/>
      <c r="AJ2062" s="4"/>
      <c r="AK2062" s="4"/>
      <c r="AL2062" s="4"/>
      <c r="AM2062" s="4"/>
      <c r="AN2062" s="4"/>
      <c r="AO2062" s="4"/>
      <c r="AP2062" s="4"/>
      <c r="AQ2062" s="4"/>
      <c r="AR2062" s="4"/>
      <c r="AS2062" s="4"/>
      <c r="AT2062" s="4"/>
      <c r="AU2062" s="4"/>
      <c r="AV2062" s="4"/>
    </row>
    <row r="2063" spans="4:48" x14ac:dyDescent="0.3">
      <c r="D2063" s="5"/>
      <c r="E2063" s="5"/>
      <c r="F2063" s="20"/>
      <c r="G2063" s="20"/>
      <c r="H2063" s="5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4"/>
      <c r="T2063" s="4"/>
      <c r="U2063" s="4"/>
      <c r="V2063" s="4"/>
      <c r="W2063" s="4"/>
      <c r="X2063" s="4"/>
      <c r="Y2063" s="4"/>
      <c r="Z2063" s="4"/>
      <c r="AA2063" s="4"/>
      <c r="AB2063" s="4"/>
      <c r="AC2063" s="4"/>
      <c r="AD2063" s="4"/>
      <c r="AE2063" s="4"/>
      <c r="AF2063" s="4"/>
      <c r="AG2063" s="4"/>
      <c r="AH2063" s="4"/>
      <c r="AI2063" s="4"/>
      <c r="AJ2063" s="4"/>
      <c r="AK2063" s="4"/>
      <c r="AL2063" s="4"/>
      <c r="AM2063" s="4"/>
      <c r="AN2063" s="4"/>
      <c r="AO2063" s="4"/>
      <c r="AP2063" s="4"/>
      <c r="AQ2063" s="4"/>
      <c r="AR2063" s="4"/>
      <c r="AS2063" s="4"/>
      <c r="AT2063" s="4"/>
      <c r="AU2063" s="4"/>
      <c r="AV2063" s="4"/>
    </row>
    <row r="2064" spans="4:48" x14ac:dyDescent="0.3">
      <c r="D2064" s="5"/>
      <c r="E2064" s="5"/>
      <c r="F2064" s="20"/>
      <c r="G2064" s="20"/>
      <c r="H2064" s="5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4"/>
      <c r="T2064" s="4"/>
      <c r="U2064" s="4"/>
      <c r="V2064" s="4"/>
      <c r="W2064" s="4"/>
      <c r="X2064" s="4"/>
      <c r="Y2064" s="4"/>
      <c r="Z2064" s="4"/>
      <c r="AA2064" s="4"/>
      <c r="AB2064" s="4"/>
      <c r="AC2064" s="4"/>
      <c r="AD2064" s="4"/>
      <c r="AE2064" s="4"/>
      <c r="AF2064" s="4"/>
      <c r="AG2064" s="4"/>
      <c r="AH2064" s="4"/>
      <c r="AI2064" s="4"/>
      <c r="AJ2064" s="4"/>
      <c r="AK2064" s="4"/>
      <c r="AL2064" s="4"/>
      <c r="AM2064" s="4"/>
      <c r="AN2064" s="4"/>
      <c r="AO2064" s="4"/>
      <c r="AP2064" s="4"/>
      <c r="AQ2064" s="4"/>
      <c r="AR2064" s="4"/>
      <c r="AS2064" s="4"/>
      <c r="AT2064" s="4"/>
      <c r="AU2064" s="4"/>
      <c r="AV2064" s="4"/>
    </row>
    <row r="2065" spans="4:48" x14ac:dyDescent="0.3">
      <c r="D2065" s="5"/>
      <c r="E2065" s="5"/>
      <c r="F2065" s="20"/>
      <c r="G2065" s="20"/>
      <c r="H2065" s="5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4"/>
      <c r="T2065" s="4"/>
      <c r="U2065" s="4"/>
      <c r="V2065" s="4"/>
      <c r="W2065" s="4"/>
      <c r="X2065" s="4"/>
      <c r="Y2065" s="4"/>
      <c r="Z2065" s="4"/>
      <c r="AA2065" s="4"/>
      <c r="AB2065" s="4"/>
      <c r="AC2065" s="4"/>
      <c r="AD2065" s="4"/>
      <c r="AE2065" s="4"/>
      <c r="AF2065" s="4"/>
      <c r="AG2065" s="4"/>
      <c r="AH2065" s="4"/>
      <c r="AI2065" s="4"/>
      <c r="AJ2065" s="4"/>
      <c r="AK2065" s="4"/>
      <c r="AL2065" s="4"/>
      <c r="AM2065" s="4"/>
      <c r="AN2065" s="4"/>
      <c r="AO2065" s="4"/>
      <c r="AP2065" s="4"/>
      <c r="AQ2065" s="4"/>
      <c r="AR2065" s="4"/>
      <c r="AS2065" s="4"/>
      <c r="AT2065" s="4"/>
      <c r="AU2065" s="4"/>
      <c r="AV2065" s="4"/>
    </row>
    <row r="2066" spans="4:48" x14ac:dyDescent="0.3">
      <c r="D2066" s="5"/>
      <c r="E2066" s="5"/>
      <c r="F2066" s="20"/>
      <c r="G2066" s="20"/>
      <c r="H2066" s="5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4"/>
      <c r="T2066" s="4"/>
      <c r="U2066" s="4"/>
      <c r="V2066" s="4"/>
      <c r="W2066" s="4"/>
      <c r="X2066" s="4"/>
      <c r="Y2066" s="4"/>
      <c r="Z2066" s="4"/>
      <c r="AA2066" s="4"/>
      <c r="AB2066" s="4"/>
      <c r="AC2066" s="4"/>
      <c r="AD2066" s="4"/>
      <c r="AE2066" s="4"/>
      <c r="AF2066" s="4"/>
      <c r="AG2066" s="4"/>
      <c r="AH2066" s="4"/>
      <c r="AI2066" s="4"/>
      <c r="AJ2066" s="4"/>
      <c r="AK2066" s="4"/>
      <c r="AL2066" s="4"/>
      <c r="AM2066" s="4"/>
      <c r="AN2066" s="4"/>
      <c r="AO2066" s="4"/>
      <c r="AP2066" s="4"/>
      <c r="AQ2066" s="4"/>
      <c r="AR2066" s="4"/>
      <c r="AS2066" s="4"/>
      <c r="AT2066" s="4"/>
      <c r="AU2066" s="4"/>
      <c r="AV2066" s="4"/>
    </row>
    <row r="2067" spans="4:48" x14ac:dyDescent="0.3">
      <c r="D2067" s="5"/>
      <c r="E2067" s="5"/>
      <c r="F2067" s="20"/>
      <c r="G2067" s="20"/>
      <c r="H2067" s="5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4"/>
      <c r="T2067" s="4"/>
      <c r="U2067" s="4"/>
      <c r="V2067" s="4"/>
      <c r="W2067" s="4"/>
      <c r="X2067" s="4"/>
      <c r="Y2067" s="4"/>
      <c r="Z2067" s="4"/>
      <c r="AA2067" s="4"/>
      <c r="AB2067" s="4"/>
      <c r="AC2067" s="4"/>
      <c r="AD2067" s="4"/>
      <c r="AE2067" s="4"/>
      <c r="AF2067" s="4"/>
      <c r="AG2067" s="4"/>
      <c r="AH2067" s="4"/>
      <c r="AI2067" s="4"/>
      <c r="AJ2067" s="4"/>
      <c r="AK2067" s="4"/>
      <c r="AL2067" s="4"/>
      <c r="AM2067" s="4"/>
      <c r="AN2067" s="4"/>
      <c r="AO2067" s="4"/>
      <c r="AP2067" s="4"/>
      <c r="AQ2067" s="4"/>
      <c r="AR2067" s="4"/>
      <c r="AS2067" s="4"/>
      <c r="AT2067" s="4"/>
      <c r="AU2067" s="4"/>
      <c r="AV2067" s="4"/>
    </row>
    <row r="2068" spans="4:48" x14ac:dyDescent="0.3">
      <c r="D2068" s="5"/>
      <c r="E2068" s="5"/>
      <c r="F2068" s="20"/>
      <c r="G2068" s="20"/>
      <c r="H2068" s="5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4"/>
      <c r="T2068" s="4"/>
      <c r="U2068" s="4"/>
      <c r="V2068" s="4"/>
      <c r="W2068" s="4"/>
      <c r="X2068" s="4"/>
      <c r="Y2068" s="4"/>
      <c r="Z2068" s="4"/>
      <c r="AA2068" s="4"/>
      <c r="AB2068" s="4"/>
      <c r="AC2068" s="4"/>
      <c r="AD2068" s="4"/>
      <c r="AE2068" s="4"/>
      <c r="AF2068" s="4"/>
      <c r="AG2068" s="4"/>
      <c r="AH2068" s="4"/>
      <c r="AI2068" s="4"/>
      <c r="AJ2068" s="4"/>
      <c r="AK2068" s="4"/>
      <c r="AL2068" s="4"/>
      <c r="AM2068" s="4"/>
      <c r="AN2068" s="4"/>
      <c r="AO2068" s="4"/>
      <c r="AP2068" s="4"/>
      <c r="AQ2068" s="4"/>
      <c r="AR2068" s="4"/>
      <c r="AS2068" s="4"/>
      <c r="AT2068" s="4"/>
      <c r="AU2068" s="4"/>
      <c r="AV2068" s="4"/>
    </row>
    <row r="2069" spans="4:48" x14ac:dyDescent="0.3">
      <c r="D2069" s="5"/>
      <c r="E2069" s="5"/>
      <c r="F2069" s="20"/>
      <c r="G2069" s="20"/>
      <c r="H2069" s="5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4"/>
      <c r="T2069" s="4"/>
      <c r="U2069" s="4"/>
      <c r="V2069" s="4"/>
      <c r="W2069" s="4"/>
      <c r="X2069" s="4"/>
      <c r="Y2069" s="4"/>
      <c r="Z2069" s="4"/>
      <c r="AA2069" s="4"/>
      <c r="AB2069" s="4"/>
      <c r="AC2069" s="4"/>
      <c r="AD2069" s="4"/>
      <c r="AE2069" s="4"/>
      <c r="AF2069" s="4"/>
      <c r="AG2069" s="4"/>
      <c r="AH2069" s="4"/>
      <c r="AI2069" s="4"/>
      <c r="AJ2069" s="4"/>
      <c r="AK2069" s="4"/>
      <c r="AL2069" s="4"/>
      <c r="AM2069" s="4"/>
      <c r="AN2069" s="4"/>
      <c r="AO2069" s="4"/>
      <c r="AP2069" s="4"/>
      <c r="AQ2069" s="4"/>
      <c r="AR2069" s="4"/>
      <c r="AS2069" s="4"/>
      <c r="AT2069" s="4"/>
      <c r="AU2069" s="4"/>
      <c r="AV2069" s="4"/>
    </row>
    <row r="2070" spans="4:48" x14ac:dyDescent="0.3">
      <c r="D2070" s="5"/>
      <c r="E2070" s="5"/>
      <c r="F2070" s="20"/>
      <c r="G2070" s="20"/>
      <c r="H2070" s="5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4"/>
      <c r="T2070" s="4"/>
      <c r="U2070" s="4"/>
      <c r="V2070" s="4"/>
      <c r="W2070" s="4"/>
      <c r="X2070" s="4"/>
      <c r="Y2070" s="4"/>
      <c r="Z2070" s="4"/>
      <c r="AA2070" s="4"/>
      <c r="AB2070" s="4"/>
      <c r="AC2070" s="4"/>
      <c r="AD2070" s="4"/>
      <c r="AE2070" s="4"/>
      <c r="AF2070" s="4"/>
      <c r="AG2070" s="4"/>
      <c r="AH2070" s="4"/>
      <c r="AI2070" s="4"/>
      <c r="AJ2070" s="4"/>
      <c r="AK2070" s="4"/>
      <c r="AL2070" s="4"/>
      <c r="AM2070" s="4"/>
      <c r="AN2070" s="4"/>
      <c r="AO2070" s="4"/>
      <c r="AP2070" s="4"/>
      <c r="AQ2070" s="4"/>
      <c r="AR2070" s="4"/>
      <c r="AS2070" s="4"/>
      <c r="AT2070" s="4"/>
      <c r="AU2070" s="4"/>
      <c r="AV2070" s="4"/>
    </row>
    <row r="2071" spans="4:48" x14ac:dyDescent="0.3">
      <c r="D2071" s="5"/>
      <c r="E2071" s="5"/>
      <c r="F2071" s="20"/>
      <c r="G2071" s="20"/>
      <c r="H2071" s="5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C2071" s="4"/>
      <c r="AD2071" s="4"/>
      <c r="AE2071" s="4"/>
      <c r="AF2071" s="4"/>
      <c r="AG2071" s="4"/>
      <c r="AH2071" s="4"/>
      <c r="AI2071" s="4"/>
      <c r="AJ2071" s="4"/>
      <c r="AK2071" s="4"/>
      <c r="AL2071" s="4"/>
      <c r="AM2071" s="4"/>
      <c r="AN2071" s="4"/>
      <c r="AO2071" s="4"/>
      <c r="AP2071" s="4"/>
      <c r="AQ2071" s="4"/>
      <c r="AR2071" s="4"/>
      <c r="AS2071" s="4"/>
      <c r="AT2071" s="4"/>
      <c r="AU2071" s="4"/>
      <c r="AV2071" s="4"/>
    </row>
    <row r="2072" spans="4:48" x14ac:dyDescent="0.3">
      <c r="D2072" s="5"/>
      <c r="E2072" s="5"/>
      <c r="F2072" s="20"/>
      <c r="G2072" s="20"/>
      <c r="H2072" s="5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4"/>
      <c r="T2072" s="4"/>
      <c r="U2072" s="4"/>
      <c r="V2072" s="4"/>
      <c r="W2072" s="4"/>
      <c r="X2072" s="4"/>
      <c r="Y2072" s="4"/>
      <c r="Z2072" s="4"/>
      <c r="AA2072" s="4"/>
      <c r="AB2072" s="4"/>
      <c r="AC2072" s="4"/>
      <c r="AD2072" s="4"/>
      <c r="AE2072" s="4"/>
      <c r="AF2072" s="4"/>
      <c r="AG2072" s="4"/>
      <c r="AH2072" s="4"/>
      <c r="AI2072" s="4"/>
      <c r="AJ2072" s="4"/>
      <c r="AK2072" s="4"/>
      <c r="AL2072" s="4"/>
      <c r="AM2072" s="4"/>
      <c r="AN2072" s="4"/>
      <c r="AO2072" s="4"/>
      <c r="AP2072" s="4"/>
      <c r="AQ2072" s="4"/>
      <c r="AR2072" s="4"/>
      <c r="AS2072" s="4"/>
      <c r="AT2072" s="4"/>
      <c r="AU2072" s="4"/>
      <c r="AV2072" s="4"/>
    </row>
    <row r="2073" spans="4:48" x14ac:dyDescent="0.3">
      <c r="D2073" s="5"/>
      <c r="E2073" s="5"/>
      <c r="F2073" s="20"/>
      <c r="G2073" s="20"/>
      <c r="H2073" s="5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4"/>
      <c r="T2073" s="4"/>
      <c r="U2073" s="4"/>
      <c r="V2073" s="4"/>
      <c r="W2073" s="4"/>
      <c r="X2073" s="4"/>
      <c r="Y2073" s="4"/>
      <c r="Z2073" s="4"/>
      <c r="AA2073" s="4"/>
      <c r="AB2073" s="4"/>
      <c r="AC2073" s="4"/>
      <c r="AD2073" s="4"/>
      <c r="AE2073" s="4"/>
      <c r="AF2073" s="4"/>
      <c r="AG2073" s="4"/>
      <c r="AH2073" s="4"/>
      <c r="AI2073" s="4"/>
      <c r="AJ2073" s="4"/>
      <c r="AK2073" s="4"/>
      <c r="AL2073" s="4"/>
      <c r="AM2073" s="4"/>
      <c r="AN2073" s="4"/>
      <c r="AO2073" s="4"/>
      <c r="AP2073" s="4"/>
      <c r="AQ2073" s="4"/>
      <c r="AR2073" s="4"/>
      <c r="AS2073" s="4"/>
      <c r="AT2073" s="4"/>
      <c r="AU2073" s="4"/>
      <c r="AV2073" s="4"/>
    </row>
    <row r="2074" spans="4:48" x14ac:dyDescent="0.3">
      <c r="D2074" s="5"/>
      <c r="E2074" s="5"/>
      <c r="F2074" s="20"/>
      <c r="G2074" s="20"/>
      <c r="H2074" s="5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4"/>
      <c r="T2074" s="4"/>
      <c r="U2074" s="4"/>
      <c r="V2074" s="4"/>
      <c r="W2074" s="4"/>
      <c r="X2074" s="4"/>
      <c r="Y2074" s="4"/>
      <c r="Z2074" s="4"/>
      <c r="AA2074" s="4"/>
      <c r="AB2074" s="4"/>
      <c r="AC2074" s="4"/>
      <c r="AD2074" s="4"/>
      <c r="AE2074" s="4"/>
      <c r="AF2074" s="4"/>
      <c r="AG2074" s="4"/>
      <c r="AH2074" s="4"/>
      <c r="AI2074" s="4"/>
      <c r="AJ2074" s="4"/>
      <c r="AK2074" s="4"/>
      <c r="AL2074" s="4"/>
      <c r="AM2074" s="4"/>
      <c r="AN2074" s="4"/>
      <c r="AO2074" s="4"/>
      <c r="AP2074" s="4"/>
      <c r="AQ2074" s="4"/>
      <c r="AR2074" s="4"/>
      <c r="AS2074" s="4"/>
      <c r="AT2074" s="4"/>
      <c r="AU2074" s="4"/>
      <c r="AV2074" s="4"/>
    </row>
    <row r="2075" spans="4:48" x14ac:dyDescent="0.3">
      <c r="D2075" s="5"/>
      <c r="E2075" s="5"/>
      <c r="F2075" s="20"/>
      <c r="G2075" s="20"/>
      <c r="H2075" s="5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4"/>
      <c r="T2075" s="4"/>
      <c r="U2075" s="4"/>
      <c r="V2075" s="4"/>
      <c r="W2075" s="4"/>
      <c r="X2075" s="4"/>
      <c r="Y2075" s="4"/>
      <c r="Z2075" s="4"/>
      <c r="AA2075" s="4"/>
      <c r="AB2075" s="4"/>
      <c r="AC2075" s="4"/>
      <c r="AD2075" s="4"/>
      <c r="AE2075" s="4"/>
      <c r="AF2075" s="4"/>
      <c r="AG2075" s="4"/>
      <c r="AH2075" s="4"/>
      <c r="AI2075" s="4"/>
      <c r="AJ2075" s="4"/>
      <c r="AK2075" s="4"/>
      <c r="AL2075" s="4"/>
      <c r="AM2075" s="4"/>
      <c r="AN2075" s="4"/>
      <c r="AO2075" s="4"/>
      <c r="AP2075" s="4"/>
      <c r="AQ2075" s="4"/>
      <c r="AR2075" s="4"/>
      <c r="AS2075" s="4"/>
      <c r="AT2075" s="4"/>
      <c r="AU2075" s="4"/>
      <c r="AV2075" s="4"/>
    </row>
    <row r="2076" spans="4:48" x14ac:dyDescent="0.3">
      <c r="D2076" s="5"/>
      <c r="E2076" s="5"/>
      <c r="F2076" s="20"/>
      <c r="G2076" s="20"/>
      <c r="H2076" s="5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4"/>
      <c r="T2076" s="4"/>
      <c r="U2076" s="4"/>
      <c r="V2076" s="4"/>
      <c r="W2076" s="4"/>
      <c r="X2076" s="4"/>
      <c r="Y2076" s="4"/>
      <c r="Z2076" s="4"/>
      <c r="AA2076" s="4"/>
      <c r="AB2076" s="4"/>
      <c r="AC2076" s="4"/>
      <c r="AD2076" s="4"/>
      <c r="AE2076" s="4"/>
      <c r="AF2076" s="4"/>
      <c r="AG2076" s="4"/>
      <c r="AH2076" s="4"/>
      <c r="AI2076" s="4"/>
      <c r="AJ2076" s="4"/>
      <c r="AK2076" s="4"/>
      <c r="AL2076" s="4"/>
      <c r="AM2076" s="4"/>
      <c r="AN2076" s="4"/>
      <c r="AO2076" s="4"/>
      <c r="AP2076" s="4"/>
      <c r="AQ2076" s="4"/>
      <c r="AR2076" s="4"/>
      <c r="AS2076" s="4"/>
      <c r="AT2076" s="4"/>
      <c r="AU2076" s="4"/>
      <c r="AV2076" s="4"/>
    </row>
    <row r="2077" spans="4:48" x14ac:dyDescent="0.3">
      <c r="D2077" s="5"/>
      <c r="E2077" s="5"/>
      <c r="F2077" s="20"/>
      <c r="G2077" s="20"/>
      <c r="H2077" s="5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4"/>
      <c r="T2077" s="4"/>
      <c r="U2077" s="4"/>
      <c r="V2077" s="4"/>
      <c r="W2077" s="4"/>
      <c r="X2077" s="4"/>
      <c r="Y2077" s="4"/>
      <c r="Z2077" s="4"/>
      <c r="AA2077" s="4"/>
      <c r="AB2077" s="4"/>
      <c r="AC2077" s="4"/>
      <c r="AD2077" s="4"/>
      <c r="AE2077" s="4"/>
      <c r="AF2077" s="4"/>
      <c r="AG2077" s="4"/>
      <c r="AH2077" s="4"/>
      <c r="AI2077" s="4"/>
      <c r="AJ2077" s="4"/>
      <c r="AK2077" s="4"/>
      <c r="AL2077" s="4"/>
      <c r="AM2077" s="4"/>
      <c r="AN2077" s="4"/>
      <c r="AO2077" s="4"/>
      <c r="AP2077" s="4"/>
      <c r="AQ2077" s="4"/>
      <c r="AR2077" s="4"/>
      <c r="AS2077" s="4"/>
      <c r="AT2077" s="4"/>
      <c r="AU2077" s="4"/>
      <c r="AV2077" s="4"/>
    </row>
    <row r="2078" spans="4:48" x14ac:dyDescent="0.3">
      <c r="D2078" s="5"/>
      <c r="E2078" s="5"/>
      <c r="F2078" s="20"/>
      <c r="G2078" s="20"/>
      <c r="H2078" s="5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4"/>
      <c r="T2078" s="4"/>
      <c r="U2078" s="4"/>
      <c r="V2078" s="4"/>
      <c r="W2078" s="4"/>
      <c r="X2078" s="4"/>
      <c r="Y2078" s="4"/>
      <c r="Z2078" s="4"/>
      <c r="AA2078" s="4"/>
      <c r="AB2078" s="4"/>
      <c r="AC2078" s="4"/>
      <c r="AD2078" s="4"/>
      <c r="AE2078" s="4"/>
      <c r="AF2078" s="4"/>
      <c r="AG2078" s="4"/>
      <c r="AH2078" s="4"/>
      <c r="AI2078" s="4"/>
      <c r="AJ2078" s="4"/>
      <c r="AK2078" s="4"/>
      <c r="AL2078" s="4"/>
      <c r="AM2078" s="4"/>
      <c r="AN2078" s="4"/>
      <c r="AO2078" s="4"/>
      <c r="AP2078" s="4"/>
      <c r="AQ2078" s="4"/>
      <c r="AR2078" s="4"/>
      <c r="AS2078" s="4"/>
      <c r="AT2078" s="4"/>
      <c r="AU2078" s="4"/>
      <c r="AV2078" s="4"/>
    </row>
    <row r="2079" spans="4:48" x14ac:dyDescent="0.3">
      <c r="D2079" s="5"/>
      <c r="E2079" s="5"/>
      <c r="F2079" s="20"/>
      <c r="G2079" s="20"/>
      <c r="H2079" s="5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4"/>
      <c r="T2079" s="4"/>
      <c r="U2079" s="4"/>
      <c r="V2079" s="4"/>
      <c r="W2079" s="4"/>
      <c r="X2079" s="4"/>
      <c r="Y2079" s="4"/>
      <c r="Z2079" s="4"/>
      <c r="AA2079" s="4"/>
      <c r="AB2079" s="4"/>
      <c r="AC2079" s="4"/>
      <c r="AD2079" s="4"/>
      <c r="AE2079" s="4"/>
      <c r="AF2079" s="4"/>
      <c r="AG2079" s="4"/>
      <c r="AH2079" s="4"/>
      <c r="AI2079" s="4"/>
      <c r="AJ2079" s="4"/>
      <c r="AK2079" s="4"/>
      <c r="AL2079" s="4"/>
      <c r="AM2079" s="4"/>
      <c r="AN2079" s="4"/>
      <c r="AO2079" s="4"/>
      <c r="AP2079" s="4"/>
      <c r="AQ2079" s="4"/>
      <c r="AR2079" s="4"/>
      <c r="AS2079" s="4"/>
      <c r="AT2079" s="4"/>
      <c r="AU2079" s="4"/>
      <c r="AV2079" s="4"/>
    </row>
    <row r="2080" spans="4:48" x14ac:dyDescent="0.3">
      <c r="D2080" s="5"/>
      <c r="E2080" s="5"/>
      <c r="F2080" s="20"/>
      <c r="G2080" s="20"/>
      <c r="H2080" s="5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4"/>
      <c r="T2080" s="4"/>
      <c r="U2080" s="4"/>
      <c r="V2080" s="4"/>
      <c r="W2080" s="4"/>
      <c r="X2080" s="4"/>
      <c r="Y2080" s="4"/>
      <c r="Z2080" s="4"/>
      <c r="AA2080" s="4"/>
      <c r="AB2080" s="4"/>
      <c r="AC2080" s="4"/>
      <c r="AD2080" s="4"/>
      <c r="AE2080" s="4"/>
      <c r="AF2080" s="4"/>
      <c r="AG2080" s="4"/>
      <c r="AH2080" s="4"/>
      <c r="AI2080" s="4"/>
      <c r="AJ2080" s="4"/>
      <c r="AK2080" s="4"/>
      <c r="AL2080" s="4"/>
      <c r="AM2080" s="4"/>
      <c r="AN2080" s="4"/>
      <c r="AO2080" s="4"/>
      <c r="AP2080" s="4"/>
      <c r="AQ2080" s="4"/>
      <c r="AR2080" s="4"/>
      <c r="AS2080" s="4"/>
      <c r="AT2080" s="4"/>
      <c r="AU2080" s="4"/>
      <c r="AV2080" s="4"/>
    </row>
    <row r="2081" spans="4:48" x14ac:dyDescent="0.3">
      <c r="D2081" s="5"/>
      <c r="E2081" s="5"/>
      <c r="F2081" s="20"/>
      <c r="G2081" s="20"/>
      <c r="H2081" s="5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4"/>
      <c r="T2081" s="4"/>
      <c r="U2081" s="4"/>
      <c r="V2081" s="4"/>
      <c r="W2081" s="4"/>
      <c r="X2081" s="4"/>
      <c r="Y2081" s="4"/>
      <c r="Z2081" s="4"/>
      <c r="AA2081" s="4"/>
      <c r="AB2081" s="4"/>
      <c r="AC2081" s="4"/>
      <c r="AD2081" s="4"/>
      <c r="AE2081" s="4"/>
      <c r="AF2081" s="4"/>
      <c r="AG2081" s="4"/>
      <c r="AH2081" s="4"/>
      <c r="AI2081" s="4"/>
      <c r="AJ2081" s="4"/>
      <c r="AK2081" s="4"/>
      <c r="AL2081" s="4"/>
      <c r="AM2081" s="4"/>
      <c r="AN2081" s="4"/>
      <c r="AO2081" s="4"/>
      <c r="AP2081" s="4"/>
      <c r="AQ2081" s="4"/>
      <c r="AR2081" s="4"/>
      <c r="AS2081" s="4"/>
      <c r="AT2081" s="4"/>
      <c r="AU2081" s="4"/>
      <c r="AV2081" s="4"/>
    </row>
    <row r="2082" spans="4:48" x14ac:dyDescent="0.3">
      <c r="D2082" s="5"/>
      <c r="E2082" s="5"/>
      <c r="F2082" s="20"/>
      <c r="G2082" s="20"/>
      <c r="H2082" s="5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4"/>
      <c r="T2082" s="4"/>
      <c r="U2082" s="4"/>
      <c r="V2082" s="4"/>
      <c r="W2082" s="4"/>
      <c r="X2082" s="4"/>
      <c r="Y2082" s="4"/>
      <c r="Z2082" s="4"/>
      <c r="AA2082" s="4"/>
      <c r="AB2082" s="4"/>
      <c r="AC2082" s="4"/>
      <c r="AD2082" s="4"/>
      <c r="AE2082" s="4"/>
      <c r="AF2082" s="4"/>
      <c r="AG2082" s="4"/>
      <c r="AH2082" s="4"/>
      <c r="AI2082" s="4"/>
      <c r="AJ2082" s="4"/>
      <c r="AK2082" s="4"/>
      <c r="AL2082" s="4"/>
      <c r="AM2082" s="4"/>
      <c r="AN2082" s="4"/>
      <c r="AO2082" s="4"/>
      <c r="AP2082" s="4"/>
      <c r="AQ2082" s="4"/>
      <c r="AR2082" s="4"/>
      <c r="AS2082" s="4"/>
      <c r="AT2082" s="4"/>
      <c r="AU2082" s="4"/>
      <c r="AV2082" s="4"/>
    </row>
    <row r="2083" spans="4:48" x14ac:dyDescent="0.3">
      <c r="D2083" s="5"/>
      <c r="E2083" s="5"/>
      <c r="F2083" s="20"/>
      <c r="G2083" s="20"/>
      <c r="H2083" s="5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4"/>
      <c r="T2083" s="4"/>
      <c r="U2083" s="4"/>
      <c r="V2083" s="4"/>
      <c r="W2083" s="4"/>
      <c r="X2083" s="4"/>
      <c r="Y2083" s="4"/>
      <c r="Z2083" s="4"/>
      <c r="AA2083" s="4"/>
      <c r="AB2083" s="4"/>
      <c r="AC2083" s="4"/>
      <c r="AD2083" s="4"/>
      <c r="AE2083" s="4"/>
      <c r="AF2083" s="4"/>
      <c r="AG2083" s="4"/>
      <c r="AH2083" s="4"/>
      <c r="AI2083" s="4"/>
      <c r="AJ2083" s="4"/>
      <c r="AK2083" s="4"/>
      <c r="AL2083" s="4"/>
      <c r="AM2083" s="4"/>
      <c r="AN2083" s="4"/>
      <c r="AO2083" s="4"/>
      <c r="AP2083" s="4"/>
      <c r="AQ2083" s="4"/>
      <c r="AR2083" s="4"/>
      <c r="AS2083" s="4"/>
      <c r="AT2083" s="4"/>
      <c r="AU2083" s="4"/>
      <c r="AV2083" s="4"/>
    </row>
    <row r="2084" spans="4:48" x14ac:dyDescent="0.3">
      <c r="D2084" s="5"/>
      <c r="E2084" s="5"/>
      <c r="F2084" s="20"/>
      <c r="G2084" s="20"/>
      <c r="H2084" s="5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4"/>
      <c r="T2084" s="4"/>
      <c r="U2084" s="4"/>
      <c r="V2084" s="4"/>
      <c r="W2084" s="4"/>
      <c r="X2084" s="4"/>
      <c r="Y2084" s="4"/>
      <c r="Z2084" s="4"/>
      <c r="AA2084" s="4"/>
      <c r="AB2084" s="4"/>
      <c r="AC2084" s="4"/>
      <c r="AD2084" s="4"/>
      <c r="AE2084" s="4"/>
      <c r="AF2084" s="4"/>
      <c r="AG2084" s="4"/>
      <c r="AH2084" s="4"/>
      <c r="AI2084" s="4"/>
      <c r="AJ2084" s="4"/>
      <c r="AK2084" s="4"/>
      <c r="AL2084" s="4"/>
      <c r="AM2084" s="4"/>
      <c r="AN2084" s="4"/>
      <c r="AO2084" s="4"/>
      <c r="AP2084" s="4"/>
      <c r="AQ2084" s="4"/>
      <c r="AR2084" s="4"/>
      <c r="AS2084" s="4"/>
      <c r="AT2084" s="4"/>
      <c r="AU2084" s="4"/>
      <c r="AV2084" s="4"/>
    </row>
    <row r="2085" spans="4:48" x14ac:dyDescent="0.3">
      <c r="D2085" s="5"/>
      <c r="E2085" s="5"/>
      <c r="F2085" s="20"/>
      <c r="G2085" s="20"/>
      <c r="H2085" s="5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4"/>
      <c r="T2085" s="4"/>
      <c r="U2085" s="4"/>
      <c r="V2085" s="4"/>
      <c r="W2085" s="4"/>
      <c r="X2085" s="4"/>
      <c r="Y2085" s="4"/>
      <c r="Z2085" s="4"/>
      <c r="AA2085" s="4"/>
      <c r="AB2085" s="4"/>
      <c r="AC2085" s="4"/>
      <c r="AD2085" s="4"/>
      <c r="AE2085" s="4"/>
      <c r="AF2085" s="4"/>
      <c r="AG2085" s="4"/>
      <c r="AH2085" s="4"/>
      <c r="AI2085" s="4"/>
      <c r="AJ2085" s="4"/>
      <c r="AK2085" s="4"/>
      <c r="AL2085" s="4"/>
      <c r="AM2085" s="4"/>
      <c r="AN2085" s="4"/>
      <c r="AO2085" s="4"/>
      <c r="AP2085" s="4"/>
      <c r="AQ2085" s="4"/>
      <c r="AR2085" s="4"/>
      <c r="AS2085" s="4"/>
      <c r="AT2085" s="4"/>
      <c r="AU2085" s="4"/>
      <c r="AV2085" s="4"/>
    </row>
    <row r="2086" spans="4:48" x14ac:dyDescent="0.3">
      <c r="D2086" s="5"/>
      <c r="E2086" s="5"/>
      <c r="F2086" s="20"/>
      <c r="G2086" s="20"/>
      <c r="H2086" s="5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4"/>
      <c r="T2086" s="4"/>
      <c r="U2086" s="4"/>
      <c r="V2086" s="4"/>
      <c r="W2086" s="4"/>
      <c r="X2086" s="4"/>
      <c r="Y2086" s="4"/>
      <c r="Z2086" s="4"/>
      <c r="AA2086" s="4"/>
      <c r="AB2086" s="4"/>
      <c r="AC2086" s="4"/>
      <c r="AD2086" s="4"/>
      <c r="AE2086" s="4"/>
      <c r="AF2086" s="4"/>
      <c r="AG2086" s="4"/>
      <c r="AH2086" s="4"/>
      <c r="AI2086" s="4"/>
      <c r="AJ2086" s="4"/>
      <c r="AK2086" s="4"/>
      <c r="AL2086" s="4"/>
      <c r="AM2086" s="4"/>
      <c r="AN2086" s="4"/>
      <c r="AO2086" s="4"/>
      <c r="AP2086" s="4"/>
      <c r="AQ2086" s="4"/>
      <c r="AR2086" s="4"/>
      <c r="AS2086" s="4"/>
      <c r="AT2086" s="4"/>
      <c r="AU2086" s="4"/>
      <c r="AV2086" s="4"/>
    </row>
    <row r="2087" spans="4:48" x14ac:dyDescent="0.3">
      <c r="D2087" s="5"/>
      <c r="E2087" s="5"/>
      <c r="F2087" s="20"/>
      <c r="G2087" s="20"/>
      <c r="H2087" s="5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4"/>
      <c r="T2087" s="4"/>
      <c r="U2087" s="4"/>
      <c r="V2087" s="4"/>
      <c r="W2087" s="4"/>
      <c r="X2087" s="4"/>
      <c r="Y2087" s="4"/>
      <c r="Z2087" s="4"/>
      <c r="AA2087" s="4"/>
      <c r="AB2087" s="4"/>
      <c r="AC2087" s="4"/>
      <c r="AD2087" s="4"/>
      <c r="AE2087" s="4"/>
      <c r="AF2087" s="4"/>
      <c r="AG2087" s="4"/>
      <c r="AH2087" s="4"/>
      <c r="AI2087" s="4"/>
      <c r="AJ2087" s="4"/>
      <c r="AK2087" s="4"/>
      <c r="AL2087" s="4"/>
      <c r="AM2087" s="4"/>
      <c r="AN2087" s="4"/>
      <c r="AO2087" s="4"/>
      <c r="AP2087" s="4"/>
      <c r="AQ2087" s="4"/>
      <c r="AR2087" s="4"/>
      <c r="AS2087" s="4"/>
      <c r="AT2087" s="4"/>
      <c r="AU2087" s="4"/>
      <c r="AV2087" s="4"/>
    </row>
    <row r="2088" spans="4:48" x14ac:dyDescent="0.3">
      <c r="D2088" s="5"/>
      <c r="E2088" s="5"/>
      <c r="F2088" s="20"/>
      <c r="G2088" s="20"/>
      <c r="H2088" s="5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4"/>
      <c r="T2088" s="4"/>
      <c r="U2088" s="4"/>
      <c r="V2088" s="4"/>
      <c r="W2088" s="4"/>
      <c r="X2088" s="4"/>
      <c r="Y2088" s="4"/>
      <c r="Z2088" s="4"/>
      <c r="AA2088" s="4"/>
      <c r="AB2088" s="4"/>
      <c r="AC2088" s="4"/>
      <c r="AD2088" s="4"/>
      <c r="AE2088" s="4"/>
      <c r="AF2088" s="4"/>
      <c r="AG2088" s="4"/>
      <c r="AH2088" s="4"/>
      <c r="AI2088" s="4"/>
      <c r="AJ2088" s="4"/>
      <c r="AK2088" s="4"/>
      <c r="AL2088" s="4"/>
      <c r="AM2088" s="4"/>
      <c r="AN2088" s="4"/>
      <c r="AO2088" s="4"/>
      <c r="AP2088" s="4"/>
      <c r="AQ2088" s="4"/>
      <c r="AR2088" s="4"/>
      <c r="AS2088" s="4"/>
      <c r="AT2088" s="4"/>
      <c r="AU2088" s="4"/>
      <c r="AV2088" s="4"/>
    </row>
    <row r="2089" spans="4:48" x14ac:dyDescent="0.3">
      <c r="D2089" s="5"/>
      <c r="E2089" s="5"/>
      <c r="F2089" s="20"/>
      <c r="G2089" s="20"/>
      <c r="H2089" s="5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4"/>
      <c r="T2089" s="4"/>
      <c r="U2089" s="4"/>
      <c r="V2089" s="4"/>
      <c r="W2089" s="4"/>
      <c r="X2089" s="4"/>
      <c r="Y2089" s="4"/>
      <c r="Z2089" s="4"/>
      <c r="AA2089" s="4"/>
      <c r="AB2089" s="4"/>
      <c r="AC2089" s="4"/>
      <c r="AD2089" s="4"/>
      <c r="AE2089" s="4"/>
      <c r="AF2089" s="4"/>
      <c r="AG2089" s="4"/>
      <c r="AH2089" s="4"/>
      <c r="AI2089" s="4"/>
      <c r="AJ2089" s="4"/>
      <c r="AK2089" s="4"/>
      <c r="AL2089" s="4"/>
      <c r="AM2089" s="4"/>
      <c r="AN2089" s="4"/>
      <c r="AO2089" s="4"/>
      <c r="AP2089" s="4"/>
      <c r="AQ2089" s="4"/>
      <c r="AR2089" s="4"/>
      <c r="AS2089" s="4"/>
      <c r="AT2089" s="4"/>
      <c r="AU2089" s="4"/>
      <c r="AV2089" s="4"/>
    </row>
    <row r="2090" spans="4:48" x14ac:dyDescent="0.3">
      <c r="D2090" s="5"/>
      <c r="E2090" s="5"/>
      <c r="F2090" s="20"/>
      <c r="G2090" s="20"/>
      <c r="H2090" s="5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4"/>
      <c r="T2090" s="4"/>
      <c r="U2090" s="4"/>
      <c r="V2090" s="4"/>
      <c r="W2090" s="4"/>
      <c r="X2090" s="4"/>
      <c r="Y2090" s="4"/>
      <c r="Z2090" s="4"/>
      <c r="AA2090" s="4"/>
      <c r="AB2090" s="4"/>
      <c r="AC2090" s="4"/>
      <c r="AD2090" s="4"/>
      <c r="AE2090" s="4"/>
      <c r="AF2090" s="4"/>
      <c r="AG2090" s="4"/>
      <c r="AH2090" s="4"/>
      <c r="AI2090" s="4"/>
      <c r="AJ2090" s="4"/>
      <c r="AK2090" s="4"/>
      <c r="AL2090" s="4"/>
      <c r="AM2090" s="4"/>
      <c r="AN2090" s="4"/>
      <c r="AO2090" s="4"/>
      <c r="AP2090" s="4"/>
      <c r="AQ2090" s="4"/>
      <c r="AR2090" s="4"/>
      <c r="AS2090" s="4"/>
      <c r="AT2090" s="4"/>
      <c r="AU2090" s="4"/>
      <c r="AV2090" s="4"/>
    </row>
    <row r="2091" spans="4:48" x14ac:dyDescent="0.3">
      <c r="D2091" s="5"/>
      <c r="E2091" s="5"/>
      <c r="F2091" s="20"/>
      <c r="G2091" s="20"/>
      <c r="H2091" s="5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4"/>
      <c r="T2091" s="4"/>
      <c r="U2091" s="4"/>
      <c r="V2091" s="4"/>
      <c r="W2091" s="4"/>
      <c r="X2091" s="4"/>
      <c r="Y2091" s="4"/>
      <c r="Z2091" s="4"/>
      <c r="AA2091" s="4"/>
      <c r="AB2091" s="4"/>
      <c r="AC2091" s="4"/>
      <c r="AD2091" s="4"/>
      <c r="AE2091" s="4"/>
      <c r="AF2091" s="4"/>
      <c r="AG2091" s="4"/>
      <c r="AH2091" s="4"/>
      <c r="AI2091" s="4"/>
      <c r="AJ2091" s="4"/>
      <c r="AK2091" s="4"/>
      <c r="AL2091" s="4"/>
      <c r="AM2091" s="4"/>
      <c r="AN2091" s="4"/>
      <c r="AO2091" s="4"/>
      <c r="AP2091" s="4"/>
      <c r="AQ2091" s="4"/>
      <c r="AR2091" s="4"/>
      <c r="AS2091" s="4"/>
      <c r="AT2091" s="4"/>
      <c r="AU2091" s="4"/>
      <c r="AV2091" s="4"/>
    </row>
    <row r="2092" spans="4:48" x14ac:dyDescent="0.3">
      <c r="D2092" s="5"/>
      <c r="E2092" s="5"/>
      <c r="F2092" s="20"/>
      <c r="G2092" s="20"/>
      <c r="H2092" s="5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4"/>
      <c r="T2092" s="4"/>
      <c r="U2092" s="4"/>
      <c r="V2092" s="4"/>
      <c r="W2092" s="4"/>
      <c r="X2092" s="4"/>
      <c r="Y2092" s="4"/>
      <c r="Z2092" s="4"/>
      <c r="AA2092" s="4"/>
      <c r="AB2092" s="4"/>
      <c r="AC2092" s="4"/>
      <c r="AD2092" s="4"/>
      <c r="AE2092" s="4"/>
      <c r="AF2092" s="4"/>
      <c r="AG2092" s="4"/>
      <c r="AH2092" s="4"/>
      <c r="AI2092" s="4"/>
      <c r="AJ2092" s="4"/>
      <c r="AK2092" s="4"/>
      <c r="AL2092" s="4"/>
      <c r="AM2092" s="4"/>
      <c r="AN2092" s="4"/>
      <c r="AO2092" s="4"/>
      <c r="AP2092" s="4"/>
      <c r="AQ2092" s="4"/>
      <c r="AR2092" s="4"/>
      <c r="AS2092" s="4"/>
      <c r="AT2092" s="4"/>
      <c r="AU2092" s="4"/>
      <c r="AV2092" s="4"/>
    </row>
    <row r="2093" spans="4:48" x14ac:dyDescent="0.3">
      <c r="D2093" s="5"/>
      <c r="E2093" s="5"/>
      <c r="F2093" s="20"/>
      <c r="G2093" s="20"/>
      <c r="H2093" s="5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4"/>
      <c r="T2093" s="4"/>
      <c r="U2093" s="4"/>
      <c r="V2093" s="4"/>
      <c r="W2093" s="4"/>
      <c r="X2093" s="4"/>
      <c r="Y2093" s="4"/>
      <c r="Z2093" s="4"/>
      <c r="AA2093" s="4"/>
      <c r="AB2093" s="4"/>
      <c r="AC2093" s="4"/>
      <c r="AD2093" s="4"/>
      <c r="AE2093" s="4"/>
      <c r="AF2093" s="4"/>
      <c r="AG2093" s="4"/>
      <c r="AH2093" s="4"/>
      <c r="AI2093" s="4"/>
      <c r="AJ2093" s="4"/>
      <c r="AK2093" s="4"/>
      <c r="AL2093" s="4"/>
      <c r="AM2093" s="4"/>
      <c r="AN2093" s="4"/>
      <c r="AO2093" s="4"/>
      <c r="AP2093" s="4"/>
      <c r="AQ2093" s="4"/>
      <c r="AR2093" s="4"/>
      <c r="AS2093" s="4"/>
      <c r="AT2093" s="4"/>
      <c r="AU2093" s="4"/>
      <c r="AV2093" s="4"/>
    </row>
    <row r="2094" spans="4:48" x14ac:dyDescent="0.3">
      <c r="D2094" s="5"/>
      <c r="E2094" s="5"/>
      <c r="F2094" s="20"/>
      <c r="G2094" s="20"/>
      <c r="H2094" s="5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4"/>
      <c r="T2094" s="4"/>
      <c r="U2094" s="4"/>
      <c r="V2094" s="4"/>
      <c r="W2094" s="4"/>
      <c r="X2094" s="4"/>
      <c r="Y2094" s="4"/>
      <c r="Z2094" s="4"/>
      <c r="AA2094" s="4"/>
      <c r="AB2094" s="4"/>
      <c r="AC2094" s="4"/>
      <c r="AD2094" s="4"/>
      <c r="AE2094" s="4"/>
      <c r="AF2094" s="4"/>
      <c r="AG2094" s="4"/>
      <c r="AH2094" s="4"/>
      <c r="AI2094" s="4"/>
      <c r="AJ2094" s="4"/>
      <c r="AK2094" s="4"/>
      <c r="AL2094" s="4"/>
      <c r="AM2094" s="4"/>
      <c r="AN2094" s="4"/>
      <c r="AO2094" s="4"/>
      <c r="AP2094" s="4"/>
      <c r="AQ2094" s="4"/>
      <c r="AR2094" s="4"/>
      <c r="AS2094" s="4"/>
      <c r="AT2094" s="4"/>
      <c r="AU2094" s="4"/>
      <c r="AV2094" s="4"/>
    </row>
    <row r="2095" spans="4:48" x14ac:dyDescent="0.3">
      <c r="D2095" s="5"/>
      <c r="E2095" s="5"/>
      <c r="F2095" s="20"/>
      <c r="G2095" s="20"/>
      <c r="H2095" s="5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4"/>
      <c r="T2095" s="4"/>
      <c r="U2095" s="4"/>
      <c r="V2095" s="4"/>
      <c r="W2095" s="4"/>
      <c r="X2095" s="4"/>
      <c r="Y2095" s="4"/>
      <c r="Z2095" s="4"/>
      <c r="AA2095" s="4"/>
      <c r="AB2095" s="4"/>
      <c r="AC2095" s="4"/>
      <c r="AD2095" s="4"/>
      <c r="AE2095" s="4"/>
      <c r="AF2095" s="4"/>
      <c r="AG2095" s="4"/>
      <c r="AH2095" s="4"/>
      <c r="AI2095" s="4"/>
      <c r="AJ2095" s="4"/>
      <c r="AK2095" s="4"/>
      <c r="AL2095" s="4"/>
      <c r="AM2095" s="4"/>
      <c r="AN2095" s="4"/>
      <c r="AO2095" s="4"/>
      <c r="AP2095" s="4"/>
      <c r="AQ2095" s="4"/>
      <c r="AR2095" s="4"/>
      <c r="AS2095" s="4"/>
      <c r="AT2095" s="4"/>
      <c r="AU2095" s="4"/>
      <c r="AV2095" s="4"/>
    </row>
    <row r="2096" spans="4:48" x14ac:dyDescent="0.3">
      <c r="D2096" s="5"/>
      <c r="E2096" s="5"/>
      <c r="F2096" s="20"/>
      <c r="G2096" s="20"/>
      <c r="H2096" s="5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4"/>
      <c r="T2096" s="4"/>
      <c r="U2096" s="4"/>
      <c r="V2096" s="4"/>
      <c r="W2096" s="4"/>
      <c r="X2096" s="4"/>
      <c r="Y2096" s="4"/>
      <c r="Z2096" s="4"/>
      <c r="AA2096" s="4"/>
      <c r="AB2096" s="4"/>
      <c r="AC2096" s="4"/>
      <c r="AD2096" s="4"/>
      <c r="AE2096" s="4"/>
      <c r="AF2096" s="4"/>
      <c r="AG2096" s="4"/>
      <c r="AH2096" s="4"/>
      <c r="AI2096" s="4"/>
      <c r="AJ2096" s="4"/>
      <c r="AK2096" s="4"/>
      <c r="AL2096" s="4"/>
      <c r="AM2096" s="4"/>
      <c r="AN2096" s="4"/>
      <c r="AO2096" s="4"/>
      <c r="AP2096" s="4"/>
      <c r="AQ2096" s="4"/>
      <c r="AR2096" s="4"/>
      <c r="AS2096" s="4"/>
      <c r="AT2096" s="4"/>
      <c r="AU2096" s="4"/>
      <c r="AV2096" s="4"/>
    </row>
    <row r="2097" spans="4:48" x14ac:dyDescent="0.3">
      <c r="D2097" s="5"/>
      <c r="E2097" s="5"/>
      <c r="F2097" s="20"/>
      <c r="G2097" s="20"/>
      <c r="H2097" s="5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4"/>
      <c r="T2097" s="4"/>
      <c r="U2097" s="4"/>
      <c r="V2097" s="4"/>
      <c r="W2097" s="4"/>
      <c r="X2097" s="4"/>
      <c r="Y2097" s="4"/>
      <c r="Z2097" s="4"/>
      <c r="AA2097" s="4"/>
      <c r="AB2097" s="4"/>
      <c r="AC2097" s="4"/>
      <c r="AD2097" s="4"/>
      <c r="AE2097" s="4"/>
      <c r="AF2097" s="4"/>
      <c r="AG2097" s="4"/>
      <c r="AH2097" s="4"/>
      <c r="AI2097" s="4"/>
      <c r="AJ2097" s="4"/>
      <c r="AK2097" s="4"/>
      <c r="AL2097" s="4"/>
      <c r="AM2097" s="4"/>
      <c r="AN2097" s="4"/>
      <c r="AO2097" s="4"/>
      <c r="AP2097" s="4"/>
      <c r="AQ2097" s="4"/>
      <c r="AR2097" s="4"/>
      <c r="AS2097" s="4"/>
      <c r="AT2097" s="4"/>
      <c r="AU2097" s="4"/>
      <c r="AV2097" s="4"/>
    </row>
    <row r="2098" spans="4:48" x14ac:dyDescent="0.3">
      <c r="D2098" s="5"/>
      <c r="E2098" s="5"/>
      <c r="F2098" s="20"/>
      <c r="G2098" s="20"/>
      <c r="H2098" s="5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4"/>
      <c r="T2098" s="4"/>
      <c r="U2098" s="4"/>
      <c r="V2098" s="4"/>
      <c r="W2098" s="4"/>
      <c r="X2098" s="4"/>
      <c r="Y2098" s="4"/>
      <c r="Z2098" s="4"/>
      <c r="AA2098" s="4"/>
      <c r="AB2098" s="4"/>
      <c r="AC2098" s="4"/>
      <c r="AD2098" s="4"/>
      <c r="AE2098" s="4"/>
      <c r="AF2098" s="4"/>
      <c r="AG2098" s="4"/>
      <c r="AH2098" s="4"/>
      <c r="AI2098" s="4"/>
      <c r="AJ2098" s="4"/>
      <c r="AK2098" s="4"/>
      <c r="AL2098" s="4"/>
      <c r="AM2098" s="4"/>
      <c r="AN2098" s="4"/>
      <c r="AO2098" s="4"/>
      <c r="AP2098" s="4"/>
      <c r="AQ2098" s="4"/>
      <c r="AR2098" s="4"/>
      <c r="AS2098" s="4"/>
      <c r="AT2098" s="4"/>
      <c r="AU2098" s="4"/>
      <c r="AV2098" s="4"/>
    </row>
    <row r="2099" spans="4:48" x14ac:dyDescent="0.3">
      <c r="D2099" s="5"/>
      <c r="E2099" s="5"/>
      <c r="F2099" s="20"/>
      <c r="G2099" s="20"/>
      <c r="H2099" s="5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4"/>
      <c r="T2099" s="4"/>
      <c r="U2099" s="4"/>
      <c r="V2099" s="4"/>
      <c r="W2099" s="4"/>
      <c r="X2099" s="4"/>
      <c r="Y2099" s="4"/>
      <c r="Z2099" s="4"/>
      <c r="AA2099" s="4"/>
      <c r="AB2099" s="4"/>
      <c r="AC2099" s="4"/>
      <c r="AD2099" s="4"/>
      <c r="AE2099" s="4"/>
      <c r="AF2099" s="4"/>
      <c r="AG2099" s="4"/>
      <c r="AH2099" s="4"/>
      <c r="AI2099" s="4"/>
      <c r="AJ2099" s="4"/>
      <c r="AK2099" s="4"/>
      <c r="AL2099" s="4"/>
      <c r="AM2099" s="4"/>
      <c r="AN2099" s="4"/>
      <c r="AO2099" s="4"/>
      <c r="AP2099" s="4"/>
      <c r="AQ2099" s="4"/>
      <c r="AR2099" s="4"/>
      <c r="AS2099" s="4"/>
      <c r="AT2099" s="4"/>
      <c r="AU2099" s="4"/>
      <c r="AV2099" s="4"/>
    </row>
    <row r="2100" spans="4:48" x14ac:dyDescent="0.3">
      <c r="D2100" s="5"/>
      <c r="E2100" s="5"/>
      <c r="F2100" s="20"/>
      <c r="G2100" s="20"/>
      <c r="H2100" s="5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4"/>
      <c r="T2100" s="4"/>
      <c r="U2100" s="4"/>
      <c r="V2100" s="4"/>
      <c r="W2100" s="4"/>
      <c r="X2100" s="4"/>
      <c r="Y2100" s="4"/>
      <c r="Z2100" s="4"/>
      <c r="AA2100" s="4"/>
      <c r="AB2100" s="4"/>
      <c r="AC2100" s="4"/>
      <c r="AD2100" s="4"/>
      <c r="AE2100" s="4"/>
      <c r="AF2100" s="4"/>
      <c r="AG2100" s="4"/>
      <c r="AH2100" s="4"/>
      <c r="AI2100" s="4"/>
      <c r="AJ2100" s="4"/>
      <c r="AK2100" s="4"/>
      <c r="AL2100" s="4"/>
      <c r="AM2100" s="4"/>
      <c r="AN2100" s="4"/>
      <c r="AO2100" s="4"/>
      <c r="AP2100" s="4"/>
      <c r="AQ2100" s="4"/>
      <c r="AR2100" s="4"/>
      <c r="AS2100" s="4"/>
      <c r="AT2100" s="4"/>
      <c r="AU2100" s="4"/>
      <c r="AV2100" s="4"/>
    </row>
    <row r="2101" spans="4:48" x14ac:dyDescent="0.3">
      <c r="D2101" s="5"/>
      <c r="E2101" s="5"/>
      <c r="F2101" s="20"/>
      <c r="G2101" s="20"/>
      <c r="H2101" s="5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4"/>
      <c r="T2101" s="4"/>
      <c r="U2101" s="4"/>
      <c r="V2101" s="4"/>
      <c r="W2101" s="4"/>
      <c r="X2101" s="4"/>
      <c r="Y2101" s="4"/>
      <c r="Z2101" s="4"/>
      <c r="AA2101" s="4"/>
      <c r="AB2101" s="4"/>
      <c r="AC2101" s="4"/>
      <c r="AD2101" s="4"/>
      <c r="AE2101" s="4"/>
      <c r="AF2101" s="4"/>
      <c r="AG2101" s="4"/>
      <c r="AH2101" s="4"/>
      <c r="AI2101" s="4"/>
      <c r="AJ2101" s="4"/>
      <c r="AK2101" s="4"/>
      <c r="AL2101" s="4"/>
      <c r="AM2101" s="4"/>
      <c r="AN2101" s="4"/>
      <c r="AO2101" s="4"/>
      <c r="AP2101" s="4"/>
      <c r="AQ2101" s="4"/>
      <c r="AR2101" s="4"/>
      <c r="AS2101" s="4"/>
      <c r="AT2101" s="4"/>
      <c r="AU2101" s="4"/>
      <c r="AV2101" s="4"/>
    </row>
    <row r="2102" spans="4:48" x14ac:dyDescent="0.3">
      <c r="D2102" s="5"/>
      <c r="E2102" s="5"/>
      <c r="F2102" s="20"/>
      <c r="G2102" s="20"/>
      <c r="H2102" s="5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4"/>
      <c r="T2102" s="4"/>
      <c r="U2102" s="4"/>
      <c r="V2102" s="4"/>
      <c r="W2102" s="4"/>
      <c r="X2102" s="4"/>
      <c r="Y2102" s="4"/>
      <c r="Z2102" s="4"/>
      <c r="AA2102" s="4"/>
      <c r="AB2102" s="4"/>
      <c r="AC2102" s="4"/>
      <c r="AD2102" s="4"/>
      <c r="AE2102" s="4"/>
      <c r="AF2102" s="4"/>
      <c r="AG2102" s="4"/>
      <c r="AH2102" s="4"/>
      <c r="AI2102" s="4"/>
      <c r="AJ2102" s="4"/>
      <c r="AK2102" s="4"/>
      <c r="AL2102" s="4"/>
      <c r="AM2102" s="4"/>
      <c r="AN2102" s="4"/>
      <c r="AO2102" s="4"/>
      <c r="AP2102" s="4"/>
      <c r="AQ2102" s="4"/>
      <c r="AR2102" s="4"/>
      <c r="AS2102" s="4"/>
      <c r="AT2102" s="4"/>
      <c r="AU2102" s="4"/>
      <c r="AV2102" s="4"/>
    </row>
    <row r="2103" spans="4:48" x14ac:dyDescent="0.3">
      <c r="D2103" s="5"/>
      <c r="E2103" s="5"/>
      <c r="F2103" s="20"/>
      <c r="G2103" s="20"/>
      <c r="H2103" s="5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4"/>
      <c r="T2103" s="4"/>
      <c r="U2103" s="4"/>
      <c r="V2103" s="4"/>
      <c r="W2103" s="4"/>
      <c r="X2103" s="4"/>
      <c r="Y2103" s="4"/>
      <c r="Z2103" s="4"/>
      <c r="AA2103" s="4"/>
      <c r="AB2103" s="4"/>
      <c r="AC2103" s="4"/>
      <c r="AD2103" s="4"/>
      <c r="AE2103" s="4"/>
      <c r="AF2103" s="4"/>
      <c r="AG2103" s="4"/>
      <c r="AH2103" s="4"/>
      <c r="AI2103" s="4"/>
      <c r="AJ2103" s="4"/>
      <c r="AK2103" s="4"/>
      <c r="AL2103" s="4"/>
      <c r="AM2103" s="4"/>
      <c r="AN2103" s="4"/>
      <c r="AO2103" s="4"/>
      <c r="AP2103" s="4"/>
      <c r="AQ2103" s="4"/>
      <c r="AR2103" s="4"/>
      <c r="AS2103" s="4"/>
      <c r="AT2103" s="4"/>
      <c r="AU2103" s="4"/>
      <c r="AV2103" s="4"/>
    </row>
    <row r="2104" spans="4:48" x14ac:dyDescent="0.3">
      <c r="D2104" s="5"/>
      <c r="E2104" s="5"/>
      <c r="F2104" s="20"/>
      <c r="G2104" s="20"/>
      <c r="H2104" s="5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4"/>
      <c r="T2104" s="4"/>
      <c r="U2104" s="4"/>
      <c r="V2104" s="4"/>
      <c r="W2104" s="4"/>
      <c r="X2104" s="4"/>
      <c r="Y2104" s="4"/>
      <c r="Z2104" s="4"/>
      <c r="AA2104" s="4"/>
      <c r="AB2104" s="4"/>
      <c r="AC2104" s="4"/>
      <c r="AD2104" s="4"/>
      <c r="AE2104" s="4"/>
      <c r="AF2104" s="4"/>
      <c r="AG2104" s="4"/>
      <c r="AH2104" s="4"/>
      <c r="AI2104" s="4"/>
      <c r="AJ2104" s="4"/>
      <c r="AK2104" s="4"/>
      <c r="AL2104" s="4"/>
      <c r="AM2104" s="4"/>
      <c r="AN2104" s="4"/>
      <c r="AO2104" s="4"/>
      <c r="AP2104" s="4"/>
      <c r="AQ2104" s="4"/>
      <c r="AR2104" s="4"/>
      <c r="AS2104" s="4"/>
      <c r="AT2104" s="4"/>
      <c r="AU2104" s="4"/>
      <c r="AV2104" s="4"/>
    </row>
    <row r="2105" spans="4:48" x14ac:dyDescent="0.3">
      <c r="D2105" s="5"/>
      <c r="E2105" s="5"/>
      <c r="F2105" s="20"/>
      <c r="G2105" s="20"/>
      <c r="H2105" s="5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4"/>
      <c r="T2105" s="4"/>
      <c r="U2105" s="4"/>
      <c r="V2105" s="4"/>
      <c r="W2105" s="4"/>
      <c r="X2105" s="4"/>
      <c r="Y2105" s="4"/>
      <c r="Z2105" s="4"/>
      <c r="AA2105" s="4"/>
      <c r="AB2105" s="4"/>
      <c r="AC2105" s="4"/>
      <c r="AD2105" s="4"/>
      <c r="AE2105" s="4"/>
      <c r="AF2105" s="4"/>
      <c r="AG2105" s="4"/>
      <c r="AH2105" s="4"/>
      <c r="AI2105" s="4"/>
      <c r="AJ2105" s="4"/>
      <c r="AK2105" s="4"/>
      <c r="AL2105" s="4"/>
      <c r="AM2105" s="4"/>
      <c r="AN2105" s="4"/>
      <c r="AO2105" s="4"/>
      <c r="AP2105" s="4"/>
      <c r="AQ2105" s="4"/>
      <c r="AR2105" s="4"/>
      <c r="AS2105" s="4"/>
      <c r="AT2105" s="4"/>
      <c r="AU2105" s="4"/>
      <c r="AV2105" s="4"/>
    </row>
    <row r="2106" spans="4:48" x14ac:dyDescent="0.3">
      <c r="D2106" s="5"/>
      <c r="E2106" s="5"/>
      <c r="F2106" s="20"/>
      <c r="G2106" s="20"/>
      <c r="H2106" s="5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4"/>
      <c r="T2106" s="4"/>
      <c r="U2106" s="4"/>
      <c r="V2106" s="4"/>
      <c r="W2106" s="4"/>
      <c r="X2106" s="4"/>
      <c r="Y2106" s="4"/>
      <c r="Z2106" s="4"/>
      <c r="AA2106" s="4"/>
      <c r="AB2106" s="4"/>
      <c r="AC2106" s="4"/>
      <c r="AD2106" s="4"/>
      <c r="AE2106" s="4"/>
      <c r="AF2106" s="4"/>
      <c r="AG2106" s="4"/>
      <c r="AH2106" s="4"/>
      <c r="AI2106" s="4"/>
      <c r="AJ2106" s="4"/>
      <c r="AK2106" s="4"/>
      <c r="AL2106" s="4"/>
      <c r="AM2106" s="4"/>
      <c r="AN2106" s="4"/>
      <c r="AO2106" s="4"/>
      <c r="AP2106" s="4"/>
      <c r="AQ2106" s="4"/>
      <c r="AR2106" s="4"/>
      <c r="AS2106" s="4"/>
      <c r="AT2106" s="4"/>
      <c r="AU2106" s="4"/>
      <c r="AV2106" s="4"/>
    </row>
    <row r="2107" spans="4:48" x14ac:dyDescent="0.3">
      <c r="D2107" s="5"/>
      <c r="E2107" s="5"/>
      <c r="F2107" s="20"/>
      <c r="G2107" s="20"/>
      <c r="H2107" s="5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4"/>
      <c r="T2107" s="4"/>
      <c r="U2107" s="4"/>
      <c r="V2107" s="4"/>
      <c r="W2107" s="4"/>
      <c r="X2107" s="4"/>
      <c r="Y2107" s="4"/>
      <c r="Z2107" s="4"/>
      <c r="AA2107" s="4"/>
      <c r="AB2107" s="4"/>
      <c r="AC2107" s="4"/>
      <c r="AD2107" s="4"/>
      <c r="AE2107" s="4"/>
      <c r="AF2107" s="4"/>
      <c r="AG2107" s="4"/>
      <c r="AH2107" s="4"/>
      <c r="AI2107" s="4"/>
      <c r="AJ2107" s="4"/>
      <c r="AK2107" s="4"/>
      <c r="AL2107" s="4"/>
      <c r="AM2107" s="4"/>
      <c r="AN2107" s="4"/>
      <c r="AO2107" s="4"/>
      <c r="AP2107" s="4"/>
      <c r="AQ2107" s="4"/>
      <c r="AR2107" s="4"/>
      <c r="AS2107" s="4"/>
      <c r="AT2107" s="4"/>
      <c r="AU2107" s="4"/>
      <c r="AV2107" s="4"/>
    </row>
    <row r="2108" spans="4:48" x14ac:dyDescent="0.3">
      <c r="D2108" s="5"/>
      <c r="E2108" s="5"/>
      <c r="F2108" s="20"/>
      <c r="G2108" s="20"/>
      <c r="H2108" s="5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4"/>
      <c r="T2108" s="4"/>
      <c r="U2108" s="4"/>
      <c r="V2108" s="4"/>
      <c r="W2108" s="4"/>
      <c r="X2108" s="4"/>
      <c r="Y2108" s="4"/>
      <c r="Z2108" s="4"/>
      <c r="AA2108" s="4"/>
      <c r="AB2108" s="4"/>
      <c r="AC2108" s="4"/>
      <c r="AD2108" s="4"/>
      <c r="AE2108" s="4"/>
      <c r="AF2108" s="4"/>
      <c r="AG2108" s="4"/>
      <c r="AH2108" s="4"/>
      <c r="AI2108" s="4"/>
      <c r="AJ2108" s="4"/>
      <c r="AK2108" s="4"/>
      <c r="AL2108" s="4"/>
      <c r="AM2108" s="4"/>
      <c r="AN2108" s="4"/>
      <c r="AO2108" s="4"/>
      <c r="AP2108" s="4"/>
      <c r="AQ2108" s="4"/>
      <c r="AR2108" s="4"/>
      <c r="AS2108" s="4"/>
      <c r="AT2108" s="4"/>
      <c r="AU2108" s="4"/>
      <c r="AV2108" s="4"/>
    </row>
    <row r="2109" spans="4:48" x14ac:dyDescent="0.3">
      <c r="D2109" s="5"/>
      <c r="E2109" s="5"/>
      <c r="F2109" s="20"/>
      <c r="G2109" s="20"/>
      <c r="H2109" s="5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4"/>
      <c r="T2109" s="4"/>
      <c r="U2109" s="4"/>
      <c r="V2109" s="4"/>
      <c r="W2109" s="4"/>
      <c r="X2109" s="4"/>
      <c r="Y2109" s="4"/>
      <c r="Z2109" s="4"/>
      <c r="AA2109" s="4"/>
      <c r="AB2109" s="4"/>
      <c r="AC2109" s="4"/>
      <c r="AD2109" s="4"/>
      <c r="AE2109" s="4"/>
      <c r="AF2109" s="4"/>
      <c r="AG2109" s="4"/>
      <c r="AH2109" s="4"/>
      <c r="AI2109" s="4"/>
      <c r="AJ2109" s="4"/>
      <c r="AK2109" s="4"/>
      <c r="AL2109" s="4"/>
      <c r="AM2109" s="4"/>
      <c r="AN2109" s="4"/>
      <c r="AO2109" s="4"/>
      <c r="AP2109" s="4"/>
      <c r="AQ2109" s="4"/>
      <c r="AR2109" s="4"/>
      <c r="AS2109" s="4"/>
      <c r="AT2109" s="4"/>
      <c r="AU2109" s="4"/>
      <c r="AV2109" s="4"/>
    </row>
    <row r="2110" spans="4:48" x14ac:dyDescent="0.3">
      <c r="D2110" s="5"/>
      <c r="E2110" s="5"/>
      <c r="F2110" s="20"/>
      <c r="G2110" s="20"/>
      <c r="H2110" s="5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4"/>
      <c r="T2110" s="4"/>
      <c r="U2110" s="4"/>
      <c r="V2110" s="4"/>
      <c r="W2110" s="4"/>
      <c r="X2110" s="4"/>
      <c r="Y2110" s="4"/>
      <c r="Z2110" s="4"/>
      <c r="AA2110" s="4"/>
      <c r="AB2110" s="4"/>
      <c r="AC2110" s="4"/>
      <c r="AD2110" s="4"/>
      <c r="AE2110" s="4"/>
      <c r="AF2110" s="4"/>
      <c r="AG2110" s="4"/>
      <c r="AH2110" s="4"/>
      <c r="AI2110" s="4"/>
      <c r="AJ2110" s="4"/>
      <c r="AK2110" s="4"/>
      <c r="AL2110" s="4"/>
      <c r="AM2110" s="4"/>
      <c r="AN2110" s="4"/>
      <c r="AO2110" s="4"/>
      <c r="AP2110" s="4"/>
      <c r="AQ2110" s="4"/>
      <c r="AR2110" s="4"/>
      <c r="AS2110" s="4"/>
      <c r="AT2110" s="4"/>
      <c r="AU2110" s="4"/>
      <c r="AV2110" s="4"/>
    </row>
    <row r="2111" spans="4:48" x14ac:dyDescent="0.3">
      <c r="D2111" s="5"/>
      <c r="E2111" s="5"/>
      <c r="F2111" s="20"/>
      <c r="G2111" s="20"/>
      <c r="H2111" s="5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4"/>
      <c r="T2111" s="4"/>
      <c r="U2111" s="4"/>
      <c r="V2111" s="4"/>
      <c r="W2111" s="4"/>
      <c r="X2111" s="4"/>
      <c r="Y2111" s="4"/>
      <c r="Z2111" s="4"/>
      <c r="AA2111" s="4"/>
      <c r="AB2111" s="4"/>
      <c r="AC2111" s="4"/>
      <c r="AD2111" s="4"/>
      <c r="AE2111" s="4"/>
      <c r="AF2111" s="4"/>
      <c r="AG2111" s="4"/>
      <c r="AH2111" s="4"/>
      <c r="AI2111" s="4"/>
      <c r="AJ2111" s="4"/>
      <c r="AK2111" s="4"/>
      <c r="AL2111" s="4"/>
      <c r="AM2111" s="4"/>
      <c r="AN2111" s="4"/>
      <c r="AO2111" s="4"/>
      <c r="AP2111" s="4"/>
      <c r="AQ2111" s="4"/>
      <c r="AR2111" s="4"/>
      <c r="AS2111" s="4"/>
      <c r="AT2111" s="4"/>
      <c r="AU2111" s="4"/>
      <c r="AV2111" s="4"/>
    </row>
    <row r="2112" spans="4:48" x14ac:dyDescent="0.3">
      <c r="D2112" s="5"/>
      <c r="E2112" s="5"/>
      <c r="F2112" s="20"/>
      <c r="G2112" s="20"/>
      <c r="H2112" s="5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4"/>
      <c r="T2112" s="4"/>
      <c r="U2112" s="4"/>
      <c r="V2112" s="4"/>
      <c r="W2112" s="4"/>
      <c r="X2112" s="4"/>
      <c r="Y2112" s="4"/>
      <c r="Z2112" s="4"/>
      <c r="AA2112" s="4"/>
      <c r="AB2112" s="4"/>
      <c r="AC2112" s="4"/>
      <c r="AD2112" s="4"/>
      <c r="AE2112" s="4"/>
      <c r="AF2112" s="4"/>
      <c r="AG2112" s="4"/>
      <c r="AH2112" s="4"/>
      <c r="AI2112" s="4"/>
      <c r="AJ2112" s="4"/>
      <c r="AK2112" s="4"/>
      <c r="AL2112" s="4"/>
      <c r="AM2112" s="4"/>
      <c r="AN2112" s="4"/>
      <c r="AO2112" s="4"/>
      <c r="AP2112" s="4"/>
      <c r="AQ2112" s="4"/>
      <c r="AR2112" s="4"/>
      <c r="AS2112" s="4"/>
      <c r="AT2112" s="4"/>
      <c r="AU2112" s="4"/>
      <c r="AV2112" s="4"/>
    </row>
    <row r="2113" spans="4:48" x14ac:dyDescent="0.3">
      <c r="D2113" s="5"/>
      <c r="E2113" s="5"/>
      <c r="F2113" s="20"/>
      <c r="G2113" s="20"/>
      <c r="H2113" s="5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4"/>
      <c r="T2113" s="4"/>
      <c r="U2113" s="4"/>
      <c r="V2113" s="4"/>
      <c r="W2113" s="4"/>
      <c r="X2113" s="4"/>
      <c r="Y2113" s="4"/>
      <c r="Z2113" s="4"/>
      <c r="AA2113" s="4"/>
      <c r="AB2113" s="4"/>
      <c r="AC2113" s="4"/>
      <c r="AD2113" s="4"/>
      <c r="AE2113" s="4"/>
      <c r="AF2113" s="4"/>
      <c r="AG2113" s="4"/>
      <c r="AH2113" s="4"/>
      <c r="AI2113" s="4"/>
      <c r="AJ2113" s="4"/>
      <c r="AK2113" s="4"/>
      <c r="AL2113" s="4"/>
      <c r="AM2113" s="4"/>
      <c r="AN2113" s="4"/>
      <c r="AO2113" s="4"/>
      <c r="AP2113" s="4"/>
      <c r="AQ2113" s="4"/>
      <c r="AR2113" s="4"/>
      <c r="AS2113" s="4"/>
      <c r="AT2113" s="4"/>
      <c r="AU2113" s="4"/>
      <c r="AV2113" s="4"/>
    </row>
    <row r="2114" spans="4:48" x14ac:dyDescent="0.3">
      <c r="D2114" s="5"/>
      <c r="E2114" s="5"/>
      <c r="F2114" s="20"/>
      <c r="G2114" s="20"/>
      <c r="H2114" s="5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4"/>
      <c r="T2114" s="4"/>
      <c r="U2114" s="4"/>
      <c r="V2114" s="4"/>
      <c r="W2114" s="4"/>
      <c r="X2114" s="4"/>
      <c r="Y2114" s="4"/>
      <c r="Z2114" s="4"/>
      <c r="AA2114" s="4"/>
      <c r="AB2114" s="4"/>
      <c r="AC2114" s="4"/>
      <c r="AD2114" s="4"/>
      <c r="AE2114" s="4"/>
      <c r="AF2114" s="4"/>
      <c r="AG2114" s="4"/>
      <c r="AH2114" s="4"/>
      <c r="AI2114" s="4"/>
      <c r="AJ2114" s="4"/>
      <c r="AK2114" s="4"/>
      <c r="AL2114" s="4"/>
      <c r="AM2114" s="4"/>
      <c r="AN2114" s="4"/>
      <c r="AO2114" s="4"/>
      <c r="AP2114" s="4"/>
      <c r="AQ2114" s="4"/>
      <c r="AR2114" s="4"/>
      <c r="AS2114" s="4"/>
      <c r="AT2114" s="4"/>
      <c r="AU2114" s="4"/>
      <c r="AV2114" s="4"/>
    </row>
    <row r="2115" spans="4:48" x14ac:dyDescent="0.3">
      <c r="D2115" s="5"/>
      <c r="E2115" s="5"/>
      <c r="F2115" s="20"/>
      <c r="G2115" s="20"/>
      <c r="H2115" s="5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4"/>
      <c r="T2115" s="4"/>
      <c r="U2115" s="4"/>
      <c r="V2115" s="4"/>
      <c r="W2115" s="4"/>
      <c r="X2115" s="4"/>
      <c r="Y2115" s="4"/>
      <c r="Z2115" s="4"/>
      <c r="AA2115" s="4"/>
      <c r="AB2115" s="4"/>
      <c r="AC2115" s="4"/>
      <c r="AD2115" s="4"/>
      <c r="AE2115" s="4"/>
      <c r="AF2115" s="4"/>
      <c r="AG2115" s="4"/>
      <c r="AH2115" s="4"/>
      <c r="AI2115" s="4"/>
      <c r="AJ2115" s="4"/>
      <c r="AK2115" s="4"/>
      <c r="AL2115" s="4"/>
      <c r="AM2115" s="4"/>
      <c r="AN2115" s="4"/>
      <c r="AO2115" s="4"/>
      <c r="AP2115" s="4"/>
      <c r="AQ2115" s="4"/>
      <c r="AR2115" s="4"/>
      <c r="AS2115" s="4"/>
      <c r="AT2115" s="4"/>
      <c r="AU2115" s="4"/>
      <c r="AV2115" s="4"/>
    </row>
    <row r="2116" spans="4:48" x14ac:dyDescent="0.3">
      <c r="D2116" s="5"/>
      <c r="E2116" s="5"/>
      <c r="F2116" s="20"/>
      <c r="G2116" s="20"/>
      <c r="H2116" s="5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4"/>
      <c r="T2116" s="4"/>
      <c r="U2116" s="4"/>
      <c r="V2116" s="4"/>
      <c r="W2116" s="4"/>
      <c r="X2116" s="4"/>
      <c r="Y2116" s="4"/>
      <c r="Z2116" s="4"/>
      <c r="AA2116" s="4"/>
      <c r="AB2116" s="4"/>
      <c r="AC2116" s="4"/>
      <c r="AD2116" s="4"/>
      <c r="AE2116" s="4"/>
      <c r="AF2116" s="4"/>
      <c r="AG2116" s="4"/>
      <c r="AH2116" s="4"/>
      <c r="AI2116" s="4"/>
      <c r="AJ2116" s="4"/>
      <c r="AK2116" s="4"/>
      <c r="AL2116" s="4"/>
      <c r="AM2116" s="4"/>
      <c r="AN2116" s="4"/>
      <c r="AO2116" s="4"/>
      <c r="AP2116" s="4"/>
      <c r="AQ2116" s="4"/>
      <c r="AR2116" s="4"/>
      <c r="AS2116" s="4"/>
      <c r="AT2116" s="4"/>
      <c r="AU2116" s="4"/>
      <c r="AV2116" s="4"/>
    </row>
    <row r="2117" spans="4:48" x14ac:dyDescent="0.3">
      <c r="D2117" s="5"/>
      <c r="E2117" s="5"/>
      <c r="F2117" s="20"/>
      <c r="G2117" s="20"/>
      <c r="H2117" s="5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4"/>
      <c r="T2117" s="4"/>
      <c r="U2117" s="4"/>
      <c r="V2117" s="4"/>
      <c r="W2117" s="4"/>
      <c r="X2117" s="4"/>
      <c r="Y2117" s="4"/>
      <c r="Z2117" s="4"/>
      <c r="AA2117" s="4"/>
      <c r="AB2117" s="4"/>
      <c r="AC2117" s="4"/>
      <c r="AD2117" s="4"/>
      <c r="AE2117" s="4"/>
      <c r="AF2117" s="4"/>
      <c r="AG2117" s="4"/>
      <c r="AH2117" s="4"/>
      <c r="AI2117" s="4"/>
      <c r="AJ2117" s="4"/>
      <c r="AK2117" s="4"/>
      <c r="AL2117" s="4"/>
      <c r="AM2117" s="4"/>
      <c r="AN2117" s="4"/>
      <c r="AO2117" s="4"/>
      <c r="AP2117" s="4"/>
      <c r="AQ2117" s="4"/>
      <c r="AR2117" s="4"/>
      <c r="AS2117" s="4"/>
      <c r="AT2117" s="4"/>
      <c r="AU2117" s="4"/>
      <c r="AV2117" s="4"/>
    </row>
    <row r="2118" spans="4:48" x14ac:dyDescent="0.3">
      <c r="D2118" s="5"/>
      <c r="E2118" s="5"/>
      <c r="F2118" s="20"/>
      <c r="G2118" s="20"/>
      <c r="H2118" s="5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4"/>
      <c r="T2118" s="4"/>
      <c r="U2118" s="4"/>
      <c r="V2118" s="4"/>
      <c r="W2118" s="4"/>
      <c r="X2118" s="4"/>
      <c r="Y2118" s="4"/>
      <c r="Z2118" s="4"/>
      <c r="AA2118" s="4"/>
      <c r="AB2118" s="4"/>
      <c r="AC2118" s="4"/>
      <c r="AD2118" s="4"/>
      <c r="AE2118" s="4"/>
      <c r="AF2118" s="4"/>
      <c r="AG2118" s="4"/>
      <c r="AH2118" s="4"/>
      <c r="AI2118" s="4"/>
      <c r="AJ2118" s="4"/>
      <c r="AK2118" s="4"/>
      <c r="AL2118" s="4"/>
      <c r="AM2118" s="4"/>
      <c r="AN2118" s="4"/>
      <c r="AO2118" s="4"/>
      <c r="AP2118" s="4"/>
      <c r="AQ2118" s="4"/>
      <c r="AR2118" s="4"/>
      <c r="AS2118" s="4"/>
      <c r="AT2118" s="4"/>
      <c r="AU2118" s="4"/>
      <c r="AV2118" s="4"/>
    </row>
    <row r="2119" spans="4:48" x14ac:dyDescent="0.3">
      <c r="D2119" s="5"/>
      <c r="E2119" s="5"/>
      <c r="F2119" s="20"/>
      <c r="G2119" s="20"/>
      <c r="H2119" s="5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4"/>
      <c r="T2119" s="4"/>
      <c r="U2119" s="4"/>
      <c r="V2119" s="4"/>
      <c r="W2119" s="4"/>
      <c r="X2119" s="4"/>
      <c r="Y2119" s="4"/>
      <c r="Z2119" s="4"/>
      <c r="AA2119" s="4"/>
      <c r="AB2119" s="4"/>
      <c r="AC2119" s="4"/>
      <c r="AD2119" s="4"/>
      <c r="AE2119" s="4"/>
      <c r="AF2119" s="4"/>
      <c r="AG2119" s="4"/>
      <c r="AH2119" s="4"/>
      <c r="AI2119" s="4"/>
      <c r="AJ2119" s="4"/>
      <c r="AK2119" s="4"/>
      <c r="AL2119" s="4"/>
      <c r="AM2119" s="4"/>
      <c r="AN2119" s="4"/>
      <c r="AO2119" s="4"/>
      <c r="AP2119" s="4"/>
      <c r="AQ2119" s="4"/>
      <c r="AR2119" s="4"/>
      <c r="AS2119" s="4"/>
      <c r="AT2119" s="4"/>
      <c r="AU2119" s="4"/>
      <c r="AV2119" s="4"/>
    </row>
    <row r="2120" spans="4:48" x14ac:dyDescent="0.3">
      <c r="D2120" s="5"/>
      <c r="E2120" s="5"/>
      <c r="F2120" s="20"/>
      <c r="G2120" s="20"/>
      <c r="H2120" s="5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4"/>
      <c r="T2120" s="4"/>
      <c r="U2120" s="4"/>
      <c r="V2120" s="4"/>
      <c r="W2120" s="4"/>
      <c r="X2120" s="4"/>
      <c r="Y2120" s="4"/>
      <c r="Z2120" s="4"/>
      <c r="AA2120" s="4"/>
      <c r="AB2120" s="4"/>
      <c r="AC2120" s="4"/>
      <c r="AD2120" s="4"/>
      <c r="AE2120" s="4"/>
      <c r="AF2120" s="4"/>
      <c r="AG2120" s="4"/>
      <c r="AH2120" s="4"/>
      <c r="AI2120" s="4"/>
      <c r="AJ2120" s="4"/>
      <c r="AK2120" s="4"/>
      <c r="AL2120" s="4"/>
      <c r="AM2120" s="4"/>
      <c r="AN2120" s="4"/>
      <c r="AO2120" s="4"/>
      <c r="AP2120" s="4"/>
      <c r="AQ2120" s="4"/>
      <c r="AR2120" s="4"/>
      <c r="AS2120" s="4"/>
      <c r="AT2120" s="4"/>
      <c r="AU2120" s="4"/>
      <c r="AV2120" s="4"/>
    </row>
    <row r="2121" spans="4:48" x14ac:dyDescent="0.3">
      <c r="D2121" s="5"/>
      <c r="E2121" s="5"/>
      <c r="F2121" s="20"/>
      <c r="G2121" s="20"/>
      <c r="H2121" s="5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4"/>
      <c r="T2121" s="4"/>
      <c r="U2121" s="4"/>
      <c r="V2121" s="4"/>
      <c r="W2121" s="4"/>
      <c r="X2121" s="4"/>
      <c r="Y2121" s="4"/>
      <c r="Z2121" s="4"/>
      <c r="AA2121" s="4"/>
      <c r="AB2121" s="4"/>
      <c r="AC2121" s="4"/>
      <c r="AD2121" s="4"/>
      <c r="AE2121" s="4"/>
      <c r="AF2121" s="4"/>
      <c r="AG2121" s="4"/>
      <c r="AH2121" s="4"/>
      <c r="AI2121" s="4"/>
      <c r="AJ2121" s="4"/>
      <c r="AK2121" s="4"/>
      <c r="AL2121" s="4"/>
      <c r="AM2121" s="4"/>
      <c r="AN2121" s="4"/>
      <c r="AO2121" s="4"/>
      <c r="AP2121" s="4"/>
      <c r="AQ2121" s="4"/>
      <c r="AR2121" s="4"/>
      <c r="AS2121" s="4"/>
      <c r="AT2121" s="4"/>
      <c r="AU2121" s="4"/>
      <c r="AV2121" s="4"/>
    </row>
    <row r="2122" spans="4:48" x14ac:dyDescent="0.3">
      <c r="D2122" s="5"/>
      <c r="E2122" s="5"/>
      <c r="F2122" s="20"/>
      <c r="G2122" s="20"/>
      <c r="H2122" s="5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4"/>
      <c r="T2122" s="4"/>
      <c r="U2122" s="4"/>
      <c r="V2122" s="4"/>
      <c r="W2122" s="4"/>
      <c r="X2122" s="4"/>
      <c r="Y2122" s="4"/>
      <c r="Z2122" s="4"/>
      <c r="AA2122" s="4"/>
      <c r="AB2122" s="4"/>
      <c r="AC2122" s="4"/>
      <c r="AD2122" s="4"/>
      <c r="AE2122" s="4"/>
      <c r="AF2122" s="4"/>
      <c r="AG2122" s="4"/>
      <c r="AH2122" s="4"/>
      <c r="AI2122" s="4"/>
      <c r="AJ2122" s="4"/>
      <c r="AK2122" s="4"/>
      <c r="AL2122" s="4"/>
      <c r="AM2122" s="4"/>
      <c r="AN2122" s="4"/>
      <c r="AO2122" s="4"/>
      <c r="AP2122" s="4"/>
      <c r="AQ2122" s="4"/>
      <c r="AR2122" s="4"/>
      <c r="AS2122" s="4"/>
      <c r="AT2122" s="4"/>
      <c r="AU2122" s="4"/>
      <c r="AV2122" s="4"/>
    </row>
    <row r="2123" spans="4:48" x14ac:dyDescent="0.3">
      <c r="D2123" s="5"/>
      <c r="E2123" s="5"/>
      <c r="F2123" s="20"/>
      <c r="G2123" s="20"/>
      <c r="H2123" s="5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4"/>
      <c r="T2123" s="4"/>
      <c r="U2123" s="4"/>
      <c r="V2123" s="4"/>
      <c r="W2123" s="4"/>
      <c r="X2123" s="4"/>
      <c r="Y2123" s="4"/>
      <c r="Z2123" s="4"/>
      <c r="AA2123" s="4"/>
      <c r="AB2123" s="4"/>
      <c r="AC2123" s="4"/>
      <c r="AD2123" s="4"/>
      <c r="AE2123" s="4"/>
      <c r="AF2123" s="4"/>
      <c r="AG2123" s="4"/>
      <c r="AH2123" s="4"/>
      <c r="AI2123" s="4"/>
      <c r="AJ2123" s="4"/>
      <c r="AK2123" s="4"/>
      <c r="AL2123" s="4"/>
      <c r="AM2123" s="4"/>
      <c r="AN2123" s="4"/>
      <c r="AO2123" s="4"/>
      <c r="AP2123" s="4"/>
      <c r="AQ2123" s="4"/>
      <c r="AR2123" s="4"/>
      <c r="AS2123" s="4"/>
      <c r="AT2123" s="4"/>
      <c r="AU2123" s="4"/>
      <c r="AV2123" s="4"/>
    </row>
    <row r="2124" spans="4:48" x14ac:dyDescent="0.3">
      <c r="D2124" s="5"/>
      <c r="E2124" s="5"/>
      <c r="F2124" s="20"/>
      <c r="G2124" s="20"/>
      <c r="H2124" s="5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4"/>
      <c r="T2124" s="4"/>
      <c r="U2124" s="4"/>
      <c r="V2124" s="4"/>
      <c r="W2124" s="4"/>
      <c r="X2124" s="4"/>
      <c r="Y2124" s="4"/>
      <c r="Z2124" s="4"/>
      <c r="AA2124" s="4"/>
      <c r="AB2124" s="4"/>
      <c r="AC2124" s="4"/>
      <c r="AD2124" s="4"/>
      <c r="AE2124" s="4"/>
      <c r="AF2124" s="4"/>
      <c r="AG2124" s="4"/>
      <c r="AH2124" s="4"/>
      <c r="AI2124" s="4"/>
      <c r="AJ2124" s="4"/>
      <c r="AK2124" s="4"/>
      <c r="AL2124" s="4"/>
      <c r="AM2124" s="4"/>
      <c r="AN2124" s="4"/>
      <c r="AO2124" s="4"/>
      <c r="AP2124" s="4"/>
      <c r="AQ2124" s="4"/>
      <c r="AR2124" s="4"/>
      <c r="AS2124" s="4"/>
      <c r="AT2124" s="4"/>
      <c r="AU2124" s="4"/>
      <c r="AV2124" s="4"/>
    </row>
    <row r="2125" spans="4:48" x14ac:dyDescent="0.3">
      <c r="D2125" s="5"/>
      <c r="E2125" s="5"/>
      <c r="F2125" s="20"/>
      <c r="G2125" s="20"/>
      <c r="H2125" s="5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4"/>
      <c r="T2125" s="4"/>
      <c r="U2125" s="4"/>
      <c r="V2125" s="4"/>
      <c r="W2125" s="4"/>
      <c r="X2125" s="4"/>
      <c r="Y2125" s="4"/>
      <c r="Z2125" s="4"/>
      <c r="AA2125" s="4"/>
      <c r="AB2125" s="4"/>
      <c r="AC2125" s="4"/>
      <c r="AD2125" s="4"/>
      <c r="AE2125" s="4"/>
      <c r="AF2125" s="4"/>
      <c r="AG2125" s="4"/>
      <c r="AH2125" s="4"/>
      <c r="AI2125" s="4"/>
      <c r="AJ2125" s="4"/>
      <c r="AK2125" s="4"/>
      <c r="AL2125" s="4"/>
      <c r="AM2125" s="4"/>
      <c r="AN2125" s="4"/>
      <c r="AO2125" s="4"/>
      <c r="AP2125" s="4"/>
      <c r="AQ2125" s="4"/>
      <c r="AR2125" s="4"/>
      <c r="AS2125" s="4"/>
      <c r="AT2125" s="4"/>
      <c r="AU2125" s="4"/>
      <c r="AV2125" s="4"/>
    </row>
    <row r="2126" spans="4:48" x14ac:dyDescent="0.3">
      <c r="D2126" s="5"/>
      <c r="E2126" s="5"/>
      <c r="F2126" s="20"/>
      <c r="G2126" s="20"/>
      <c r="H2126" s="5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4"/>
      <c r="T2126" s="4"/>
      <c r="U2126" s="4"/>
      <c r="V2126" s="4"/>
      <c r="W2126" s="4"/>
      <c r="X2126" s="4"/>
      <c r="Y2126" s="4"/>
      <c r="Z2126" s="4"/>
      <c r="AA2126" s="4"/>
      <c r="AB2126" s="4"/>
      <c r="AC2126" s="4"/>
      <c r="AD2126" s="4"/>
      <c r="AE2126" s="4"/>
      <c r="AF2126" s="4"/>
      <c r="AG2126" s="4"/>
      <c r="AH2126" s="4"/>
      <c r="AI2126" s="4"/>
      <c r="AJ2126" s="4"/>
      <c r="AK2126" s="4"/>
      <c r="AL2126" s="4"/>
      <c r="AM2126" s="4"/>
      <c r="AN2126" s="4"/>
      <c r="AO2126" s="4"/>
      <c r="AP2126" s="4"/>
      <c r="AQ2126" s="4"/>
      <c r="AR2126" s="4"/>
      <c r="AS2126" s="4"/>
      <c r="AT2126" s="4"/>
      <c r="AU2126" s="4"/>
      <c r="AV2126" s="4"/>
    </row>
    <row r="2127" spans="4:48" x14ac:dyDescent="0.3">
      <c r="D2127" s="5"/>
      <c r="E2127" s="5"/>
      <c r="F2127" s="20"/>
      <c r="G2127" s="20"/>
      <c r="H2127" s="5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4"/>
      <c r="T2127" s="4"/>
      <c r="U2127" s="4"/>
      <c r="V2127" s="4"/>
      <c r="W2127" s="4"/>
      <c r="X2127" s="4"/>
      <c r="Y2127" s="4"/>
      <c r="Z2127" s="4"/>
      <c r="AA2127" s="4"/>
      <c r="AB2127" s="4"/>
      <c r="AC2127" s="4"/>
      <c r="AD2127" s="4"/>
      <c r="AE2127" s="4"/>
      <c r="AF2127" s="4"/>
      <c r="AG2127" s="4"/>
      <c r="AH2127" s="4"/>
      <c r="AI2127" s="4"/>
      <c r="AJ2127" s="4"/>
      <c r="AK2127" s="4"/>
      <c r="AL2127" s="4"/>
      <c r="AM2127" s="4"/>
      <c r="AN2127" s="4"/>
      <c r="AO2127" s="4"/>
      <c r="AP2127" s="4"/>
      <c r="AQ2127" s="4"/>
      <c r="AR2127" s="4"/>
      <c r="AS2127" s="4"/>
      <c r="AT2127" s="4"/>
      <c r="AU2127" s="4"/>
      <c r="AV2127" s="4"/>
    </row>
    <row r="2128" spans="4:48" x14ac:dyDescent="0.3">
      <c r="D2128" s="5"/>
      <c r="E2128" s="5"/>
      <c r="F2128" s="20"/>
      <c r="G2128" s="20"/>
      <c r="H2128" s="5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4"/>
      <c r="T2128" s="4"/>
      <c r="U2128" s="4"/>
      <c r="V2128" s="4"/>
      <c r="W2128" s="4"/>
      <c r="X2128" s="4"/>
      <c r="Y2128" s="4"/>
      <c r="Z2128" s="4"/>
      <c r="AA2128" s="4"/>
      <c r="AB2128" s="4"/>
      <c r="AC2128" s="4"/>
      <c r="AD2128" s="4"/>
      <c r="AE2128" s="4"/>
      <c r="AF2128" s="4"/>
      <c r="AG2128" s="4"/>
      <c r="AH2128" s="4"/>
      <c r="AI2128" s="4"/>
      <c r="AJ2128" s="4"/>
      <c r="AK2128" s="4"/>
      <c r="AL2128" s="4"/>
      <c r="AM2128" s="4"/>
      <c r="AN2128" s="4"/>
      <c r="AO2128" s="4"/>
      <c r="AP2128" s="4"/>
      <c r="AQ2128" s="4"/>
      <c r="AR2128" s="4"/>
      <c r="AS2128" s="4"/>
      <c r="AT2128" s="4"/>
      <c r="AU2128" s="4"/>
      <c r="AV2128" s="4"/>
    </row>
    <row r="2129" spans="4:48" x14ac:dyDescent="0.3">
      <c r="D2129" s="5"/>
      <c r="E2129" s="5"/>
      <c r="F2129" s="20"/>
      <c r="G2129" s="20"/>
      <c r="H2129" s="5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4"/>
      <c r="T2129" s="4"/>
      <c r="U2129" s="4"/>
      <c r="V2129" s="4"/>
      <c r="W2129" s="4"/>
      <c r="X2129" s="4"/>
      <c r="Y2129" s="4"/>
      <c r="Z2129" s="4"/>
      <c r="AA2129" s="4"/>
      <c r="AB2129" s="4"/>
      <c r="AC2129" s="4"/>
      <c r="AD2129" s="4"/>
      <c r="AE2129" s="4"/>
      <c r="AF2129" s="4"/>
      <c r="AG2129" s="4"/>
      <c r="AH2129" s="4"/>
      <c r="AI2129" s="4"/>
      <c r="AJ2129" s="4"/>
      <c r="AK2129" s="4"/>
      <c r="AL2129" s="4"/>
      <c r="AM2129" s="4"/>
      <c r="AN2129" s="4"/>
      <c r="AO2129" s="4"/>
      <c r="AP2129" s="4"/>
      <c r="AQ2129" s="4"/>
      <c r="AR2129" s="4"/>
      <c r="AS2129" s="4"/>
      <c r="AT2129" s="4"/>
      <c r="AU2129" s="4"/>
      <c r="AV2129" s="4"/>
    </row>
    <row r="2130" spans="4:48" x14ac:dyDescent="0.3">
      <c r="D2130" s="5"/>
      <c r="E2130" s="5"/>
      <c r="F2130" s="20"/>
      <c r="G2130" s="20"/>
      <c r="H2130" s="5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4"/>
      <c r="T2130" s="4"/>
      <c r="U2130" s="4"/>
      <c r="V2130" s="4"/>
      <c r="W2130" s="4"/>
      <c r="X2130" s="4"/>
      <c r="Y2130" s="4"/>
      <c r="Z2130" s="4"/>
      <c r="AA2130" s="4"/>
      <c r="AB2130" s="4"/>
      <c r="AC2130" s="4"/>
      <c r="AD2130" s="4"/>
      <c r="AE2130" s="4"/>
      <c r="AF2130" s="4"/>
      <c r="AG2130" s="4"/>
      <c r="AH2130" s="4"/>
      <c r="AI2130" s="4"/>
      <c r="AJ2130" s="4"/>
      <c r="AK2130" s="4"/>
      <c r="AL2130" s="4"/>
      <c r="AM2130" s="4"/>
      <c r="AN2130" s="4"/>
      <c r="AO2130" s="4"/>
      <c r="AP2130" s="4"/>
      <c r="AQ2130" s="4"/>
      <c r="AR2130" s="4"/>
      <c r="AS2130" s="4"/>
      <c r="AT2130" s="4"/>
      <c r="AU2130" s="4"/>
      <c r="AV2130" s="4"/>
    </row>
    <row r="2131" spans="4:48" x14ac:dyDescent="0.3">
      <c r="D2131" s="5"/>
      <c r="E2131" s="5"/>
      <c r="F2131" s="20"/>
      <c r="G2131" s="20"/>
      <c r="H2131" s="5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4"/>
      <c r="T2131" s="4"/>
      <c r="U2131" s="4"/>
      <c r="V2131" s="4"/>
      <c r="W2131" s="4"/>
      <c r="X2131" s="4"/>
      <c r="Y2131" s="4"/>
      <c r="Z2131" s="4"/>
      <c r="AA2131" s="4"/>
      <c r="AB2131" s="4"/>
      <c r="AC2131" s="4"/>
      <c r="AD2131" s="4"/>
      <c r="AE2131" s="4"/>
      <c r="AF2131" s="4"/>
      <c r="AG2131" s="4"/>
      <c r="AH2131" s="4"/>
      <c r="AI2131" s="4"/>
      <c r="AJ2131" s="4"/>
      <c r="AK2131" s="4"/>
      <c r="AL2131" s="4"/>
      <c r="AM2131" s="4"/>
      <c r="AN2131" s="4"/>
      <c r="AO2131" s="4"/>
      <c r="AP2131" s="4"/>
      <c r="AQ2131" s="4"/>
      <c r="AR2131" s="4"/>
      <c r="AS2131" s="4"/>
      <c r="AT2131" s="4"/>
      <c r="AU2131" s="4"/>
      <c r="AV2131" s="4"/>
    </row>
    <row r="2132" spans="4:48" x14ac:dyDescent="0.3">
      <c r="D2132" s="5"/>
      <c r="E2132" s="5"/>
      <c r="F2132" s="20"/>
      <c r="G2132" s="20"/>
      <c r="H2132" s="5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4"/>
      <c r="T2132" s="4"/>
      <c r="U2132" s="4"/>
      <c r="V2132" s="4"/>
      <c r="W2132" s="4"/>
      <c r="X2132" s="4"/>
      <c r="Y2132" s="4"/>
      <c r="Z2132" s="4"/>
      <c r="AA2132" s="4"/>
      <c r="AB2132" s="4"/>
      <c r="AC2132" s="4"/>
      <c r="AD2132" s="4"/>
      <c r="AE2132" s="4"/>
      <c r="AF2132" s="4"/>
      <c r="AG2132" s="4"/>
      <c r="AH2132" s="4"/>
      <c r="AI2132" s="4"/>
      <c r="AJ2132" s="4"/>
      <c r="AK2132" s="4"/>
      <c r="AL2132" s="4"/>
      <c r="AM2132" s="4"/>
      <c r="AN2132" s="4"/>
      <c r="AO2132" s="4"/>
      <c r="AP2132" s="4"/>
      <c r="AQ2132" s="4"/>
      <c r="AR2132" s="4"/>
      <c r="AS2132" s="4"/>
      <c r="AT2132" s="4"/>
      <c r="AU2132" s="4"/>
      <c r="AV2132" s="4"/>
    </row>
    <row r="2133" spans="4:48" x14ac:dyDescent="0.3">
      <c r="D2133" s="5"/>
      <c r="E2133" s="5"/>
      <c r="F2133" s="20"/>
      <c r="G2133" s="20"/>
      <c r="H2133" s="5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4"/>
      <c r="T2133" s="4"/>
      <c r="U2133" s="4"/>
      <c r="V2133" s="4"/>
      <c r="W2133" s="4"/>
      <c r="X2133" s="4"/>
      <c r="Y2133" s="4"/>
      <c r="Z2133" s="4"/>
      <c r="AA2133" s="4"/>
      <c r="AB2133" s="4"/>
      <c r="AC2133" s="4"/>
      <c r="AD2133" s="4"/>
      <c r="AE2133" s="4"/>
      <c r="AF2133" s="4"/>
      <c r="AG2133" s="4"/>
      <c r="AH2133" s="4"/>
      <c r="AI2133" s="4"/>
      <c r="AJ2133" s="4"/>
      <c r="AK2133" s="4"/>
      <c r="AL2133" s="4"/>
      <c r="AM2133" s="4"/>
      <c r="AN2133" s="4"/>
      <c r="AO2133" s="4"/>
      <c r="AP2133" s="4"/>
      <c r="AQ2133" s="4"/>
      <c r="AR2133" s="4"/>
      <c r="AS2133" s="4"/>
      <c r="AT2133" s="4"/>
      <c r="AU2133" s="4"/>
      <c r="AV2133" s="4"/>
    </row>
    <row r="2134" spans="4:48" x14ac:dyDescent="0.3">
      <c r="D2134" s="5"/>
      <c r="E2134" s="5"/>
      <c r="F2134" s="20"/>
      <c r="G2134" s="20"/>
      <c r="H2134" s="5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4"/>
      <c r="T2134" s="4"/>
      <c r="U2134" s="4"/>
      <c r="V2134" s="4"/>
      <c r="W2134" s="4"/>
      <c r="X2134" s="4"/>
      <c r="Y2134" s="4"/>
      <c r="Z2134" s="4"/>
      <c r="AA2134" s="4"/>
      <c r="AB2134" s="4"/>
      <c r="AC2134" s="4"/>
      <c r="AD2134" s="4"/>
      <c r="AE2134" s="4"/>
      <c r="AF2134" s="4"/>
      <c r="AG2134" s="4"/>
      <c r="AH2134" s="4"/>
      <c r="AI2134" s="4"/>
      <c r="AJ2134" s="4"/>
      <c r="AK2134" s="4"/>
      <c r="AL2134" s="4"/>
      <c r="AM2134" s="4"/>
      <c r="AN2134" s="4"/>
      <c r="AO2134" s="4"/>
      <c r="AP2134" s="4"/>
      <c r="AQ2134" s="4"/>
      <c r="AR2134" s="4"/>
      <c r="AS2134" s="4"/>
      <c r="AT2134" s="4"/>
      <c r="AU2134" s="4"/>
      <c r="AV2134" s="4"/>
    </row>
    <row r="2135" spans="4:48" x14ac:dyDescent="0.3">
      <c r="D2135" s="5"/>
      <c r="E2135" s="5"/>
      <c r="F2135" s="20"/>
      <c r="G2135" s="20"/>
      <c r="H2135" s="5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4"/>
      <c r="T2135" s="4"/>
      <c r="U2135" s="4"/>
      <c r="V2135" s="4"/>
      <c r="W2135" s="4"/>
      <c r="X2135" s="4"/>
      <c r="Y2135" s="4"/>
      <c r="Z2135" s="4"/>
      <c r="AA2135" s="4"/>
      <c r="AB2135" s="4"/>
      <c r="AC2135" s="4"/>
      <c r="AD2135" s="4"/>
      <c r="AE2135" s="4"/>
      <c r="AF2135" s="4"/>
      <c r="AG2135" s="4"/>
      <c r="AH2135" s="4"/>
      <c r="AI2135" s="4"/>
      <c r="AJ2135" s="4"/>
      <c r="AK2135" s="4"/>
      <c r="AL2135" s="4"/>
      <c r="AM2135" s="4"/>
      <c r="AN2135" s="4"/>
      <c r="AO2135" s="4"/>
      <c r="AP2135" s="4"/>
      <c r="AQ2135" s="4"/>
      <c r="AR2135" s="4"/>
      <c r="AS2135" s="4"/>
      <c r="AT2135" s="4"/>
      <c r="AU2135" s="4"/>
      <c r="AV2135" s="4"/>
    </row>
    <row r="2136" spans="4:48" x14ac:dyDescent="0.3">
      <c r="D2136" s="5"/>
      <c r="E2136" s="5"/>
      <c r="F2136" s="20"/>
      <c r="G2136" s="20"/>
      <c r="H2136" s="5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4"/>
      <c r="T2136" s="4"/>
      <c r="U2136" s="4"/>
      <c r="V2136" s="4"/>
      <c r="W2136" s="4"/>
      <c r="X2136" s="4"/>
      <c r="Y2136" s="4"/>
      <c r="Z2136" s="4"/>
      <c r="AA2136" s="4"/>
      <c r="AB2136" s="4"/>
      <c r="AC2136" s="4"/>
      <c r="AD2136" s="4"/>
      <c r="AE2136" s="4"/>
      <c r="AF2136" s="4"/>
      <c r="AG2136" s="4"/>
      <c r="AH2136" s="4"/>
      <c r="AI2136" s="4"/>
      <c r="AJ2136" s="4"/>
      <c r="AK2136" s="4"/>
      <c r="AL2136" s="4"/>
      <c r="AM2136" s="4"/>
      <c r="AN2136" s="4"/>
      <c r="AO2136" s="4"/>
      <c r="AP2136" s="4"/>
      <c r="AQ2136" s="4"/>
      <c r="AR2136" s="4"/>
      <c r="AS2136" s="4"/>
      <c r="AT2136" s="4"/>
      <c r="AU2136" s="4"/>
      <c r="AV2136" s="4"/>
    </row>
    <row r="2137" spans="4:48" x14ac:dyDescent="0.3">
      <c r="D2137" s="5"/>
      <c r="E2137" s="5"/>
      <c r="F2137" s="20"/>
      <c r="G2137" s="20"/>
      <c r="H2137" s="5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4"/>
      <c r="T2137" s="4"/>
      <c r="U2137" s="4"/>
      <c r="V2137" s="4"/>
      <c r="W2137" s="4"/>
      <c r="X2137" s="4"/>
      <c r="Y2137" s="4"/>
      <c r="Z2137" s="4"/>
      <c r="AA2137" s="4"/>
      <c r="AB2137" s="4"/>
      <c r="AC2137" s="4"/>
      <c r="AD2137" s="4"/>
      <c r="AE2137" s="4"/>
      <c r="AF2137" s="4"/>
      <c r="AG2137" s="4"/>
      <c r="AH2137" s="4"/>
      <c r="AI2137" s="4"/>
      <c r="AJ2137" s="4"/>
      <c r="AK2137" s="4"/>
      <c r="AL2137" s="4"/>
      <c r="AM2137" s="4"/>
      <c r="AN2137" s="4"/>
      <c r="AO2137" s="4"/>
      <c r="AP2137" s="4"/>
      <c r="AQ2137" s="4"/>
      <c r="AR2137" s="4"/>
      <c r="AS2137" s="4"/>
      <c r="AT2137" s="4"/>
      <c r="AU2137" s="4"/>
      <c r="AV2137" s="4"/>
    </row>
    <row r="2138" spans="4:48" x14ac:dyDescent="0.3">
      <c r="D2138" s="5"/>
      <c r="E2138" s="5"/>
      <c r="F2138" s="20"/>
      <c r="G2138" s="20"/>
      <c r="H2138" s="5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4"/>
      <c r="T2138" s="4"/>
      <c r="U2138" s="4"/>
      <c r="V2138" s="4"/>
      <c r="W2138" s="4"/>
      <c r="X2138" s="4"/>
      <c r="Y2138" s="4"/>
      <c r="Z2138" s="4"/>
      <c r="AA2138" s="4"/>
      <c r="AB2138" s="4"/>
      <c r="AC2138" s="4"/>
      <c r="AD2138" s="4"/>
      <c r="AE2138" s="4"/>
      <c r="AF2138" s="4"/>
      <c r="AG2138" s="4"/>
      <c r="AH2138" s="4"/>
      <c r="AI2138" s="4"/>
      <c r="AJ2138" s="4"/>
      <c r="AK2138" s="4"/>
      <c r="AL2138" s="4"/>
      <c r="AM2138" s="4"/>
      <c r="AN2138" s="4"/>
      <c r="AO2138" s="4"/>
      <c r="AP2138" s="4"/>
      <c r="AQ2138" s="4"/>
      <c r="AR2138" s="4"/>
      <c r="AS2138" s="4"/>
      <c r="AT2138" s="4"/>
      <c r="AU2138" s="4"/>
      <c r="AV2138" s="4"/>
    </row>
    <row r="2139" spans="4:48" x14ac:dyDescent="0.3">
      <c r="D2139" s="5"/>
      <c r="E2139" s="5"/>
      <c r="F2139" s="20"/>
      <c r="G2139" s="20"/>
      <c r="H2139" s="5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4"/>
      <c r="T2139" s="4"/>
      <c r="U2139" s="4"/>
      <c r="V2139" s="4"/>
      <c r="W2139" s="4"/>
      <c r="X2139" s="4"/>
      <c r="Y2139" s="4"/>
      <c r="Z2139" s="4"/>
      <c r="AA2139" s="4"/>
      <c r="AB2139" s="4"/>
      <c r="AC2139" s="4"/>
      <c r="AD2139" s="4"/>
      <c r="AE2139" s="4"/>
      <c r="AF2139" s="4"/>
      <c r="AG2139" s="4"/>
      <c r="AH2139" s="4"/>
      <c r="AI2139" s="4"/>
      <c r="AJ2139" s="4"/>
      <c r="AK2139" s="4"/>
      <c r="AL2139" s="4"/>
      <c r="AM2139" s="4"/>
      <c r="AN2139" s="4"/>
      <c r="AO2139" s="4"/>
      <c r="AP2139" s="4"/>
      <c r="AQ2139" s="4"/>
      <c r="AR2139" s="4"/>
      <c r="AS2139" s="4"/>
      <c r="AT2139" s="4"/>
      <c r="AU2139" s="4"/>
      <c r="AV2139" s="4"/>
    </row>
    <row r="2140" spans="4:48" x14ac:dyDescent="0.3">
      <c r="D2140" s="5"/>
      <c r="E2140" s="5"/>
      <c r="F2140" s="20"/>
      <c r="G2140" s="20"/>
      <c r="H2140" s="5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4"/>
      <c r="T2140" s="4"/>
      <c r="U2140" s="4"/>
      <c r="V2140" s="4"/>
      <c r="W2140" s="4"/>
      <c r="X2140" s="4"/>
      <c r="Y2140" s="4"/>
      <c r="Z2140" s="4"/>
      <c r="AA2140" s="4"/>
      <c r="AB2140" s="4"/>
      <c r="AC2140" s="4"/>
      <c r="AD2140" s="4"/>
      <c r="AE2140" s="4"/>
      <c r="AF2140" s="4"/>
      <c r="AG2140" s="4"/>
      <c r="AH2140" s="4"/>
      <c r="AI2140" s="4"/>
      <c r="AJ2140" s="4"/>
      <c r="AK2140" s="4"/>
      <c r="AL2140" s="4"/>
      <c r="AM2140" s="4"/>
      <c r="AN2140" s="4"/>
      <c r="AO2140" s="4"/>
      <c r="AP2140" s="4"/>
      <c r="AQ2140" s="4"/>
      <c r="AR2140" s="4"/>
      <c r="AS2140" s="4"/>
      <c r="AT2140" s="4"/>
      <c r="AU2140" s="4"/>
      <c r="AV2140" s="4"/>
    </row>
    <row r="2141" spans="4:48" x14ac:dyDescent="0.3">
      <c r="D2141" s="5"/>
      <c r="E2141" s="5"/>
      <c r="F2141" s="20"/>
      <c r="G2141" s="20"/>
      <c r="H2141" s="5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4"/>
      <c r="T2141" s="4"/>
      <c r="U2141" s="4"/>
      <c r="V2141" s="4"/>
      <c r="W2141" s="4"/>
      <c r="X2141" s="4"/>
      <c r="Y2141" s="4"/>
      <c r="Z2141" s="4"/>
      <c r="AA2141" s="4"/>
      <c r="AB2141" s="4"/>
      <c r="AC2141" s="4"/>
      <c r="AD2141" s="4"/>
      <c r="AE2141" s="4"/>
      <c r="AF2141" s="4"/>
      <c r="AG2141" s="4"/>
      <c r="AH2141" s="4"/>
      <c r="AI2141" s="4"/>
      <c r="AJ2141" s="4"/>
      <c r="AK2141" s="4"/>
      <c r="AL2141" s="4"/>
      <c r="AM2141" s="4"/>
      <c r="AN2141" s="4"/>
      <c r="AO2141" s="4"/>
      <c r="AP2141" s="4"/>
      <c r="AQ2141" s="4"/>
      <c r="AR2141" s="4"/>
      <c r="AS2141" s="4"/>
      <c r="AT2141" s="4"/>
      <c r="AU2141" s="4"/>
      <c r="AV2141" s="4"/>
    </row>
    <row r="2142" spans="4:48" x14ac:dyDescent="0.3">
      <c r="D2142" s="5"/>
      <c r="E2142" s="5"/>
      <c r="F2142" s="20"/>
      <c r="G2142" s="20"/>
      <c r="H2142" s="5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4"/>
      <c r="T2142" s="4"/>
      <c r="U2142" s="4"/>
      <c r="V2142" s="4"/>
      <c r="W2142" s="4"/>
      <c r="X2142" s="4"/>
      <c r="Y2142" s="4"/>
      <c r="Z2142" s="4"/>
      <c r="AA2142" s="4"/>
      <c r="AB2142" s="4"/>
      <c r="AC2142" s="4"/>
      <c r="AD2142" s="4"/>
      <c r="AE2142" s="4"/>
      <c r="AF2142" s="4"/>
      <c r="AG2142" s="4"/>
      <c r="AH2142" s="4"/>
      <c r="AI2142" s="4"/>
      <c r="AJ2142" s="4"/>
      <c r="AK2142" s="4"/>
      <c r="AL2142" s="4"/>
      <c r="AM2142" s="4"/>
      <c r="AN2142" s="4"/>
      <c r="AO2142" s="4"/>
      <c r="AP2142" s="4"/>
      <c r="AQ2142" s="4"/>
      <c r="AR2142" s="4"/>
      <c r="AS2142" s="4"/>
      <c r="AT2142" s="4"/>
      <c r="AU2142" s="4"/>
      <c r="AV2142" s="4"/>
    </row>
    <row r="2143" spans="4:48" x14ac:dyDescent="0.3">
      <c r="D2143" s="5"/>
      <c r="E2143" s="5"/>
      <c r="F2143" s="20"/>
      <c r="G2143" s="20"/>
      <c r="H2143" s="5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4"/>
      <c r="T2143" s="4"/>
      <c r="U2143" s="4"/>
      <c r="V2143" s="4"/>
      <c r="W2143" s="4"/>
      <c r="X2143" s="4"/>
      <c r="Y2143" s="4"/>
      <c r="Z2143" s="4"/>
      <c r="AA2143" s="4"/>
      <c r="AB2143" s="4"/>
      <c r="AC2143" s="4"/>
      <c r="AD2143" s="4"/>
      <c r="AE2143" s="4"/>
      <c r="AF2143" s="4"/>
      <c r="AG2143" s="4"/>
      <c r="AH2143" s="4"/>
      <c r="AI2143" s="4"/>
      <c r="AJ2143" s="4"/>
      <c r="AK2143" s="4"/>
      <c r="AL2143" s="4"/>
      <c r="AM2143" s="4"/>
      <c r="AN2143" s="4"/>
      <c r="AO2143" s="4"/>
      <c r="AP2143" s="4"/>
      <c r="AQ2143" s="4"/>
      <c r="AR2143" s="4"/>
      <c r="AS2143" s="4"/>
      <c r="AT2143" s="4"/>
      <c r="AU2143" s="4"/>
      <c r="AV2143" s="4"/>
    </row>
    <row r="2144" spans="4:48" x14ac:dyDescent="0.3">
      <c r="D2144" s="5"/>
      <c r="E2144" s="5"/>
      <c r="F2144" s="20"/>
      <c r="G2144" s="20"/>
      <c r="H2144" s="5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4"/>
      <c r="T2144" s="4"/>
      <c r="U2144" s="4"/>
      <c r="V2144" s="4"/>
      <c r="W2144" s="4"/>
      <c r="X2144" s="4"/>
      <c r="Y2144" s="4"/>
      <c r="Z2144" s="4"/>
      <c r="AA2144" s="4"/>
      <c r="AB2144" s="4"/>
      <c r="AC2144" s="4"/>
      <c r="AD2144" s="4"/>
      <c r="AE2144" s="4"/>
      <c r="AF2144" s="4"/>
      <c r="AG2144" s="4"/>
      <c r="AH2144" s="4"/>
      <c r="AI2144" s="4"/>
      <c r="AJ2144" s="4"/>
      <c r="AK2144" s="4"/>
      <c r="AL2144" s="4"/>
      <c r="AM2144" s="4"/>
      <c r="AN2144" s="4"/>
      <c r="AO2144" s="4"/>
      <c r="AP2144" s="4"/>
      <c r="AQ2144" s="4"/>
      <c r="AR2144" s="4"/>
      <c r="AS2144" s="4"/>
      <c r="AT2144" s="4"/>
      <c r="AU2144" s="4"/>
      <c r="AV2144" s="4"/>
    </row>
    <row r="2145" spans="4:48" x14ac:dyDescent="0.3">
      <c r="D2145" s="5"/>
      <c r="E2145" s="5"/>
      <c r="F2145" s="20"/>
      <c r="G2145" s="20"/>
      <c r="H2145" s="5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4"/>
      <c r="T2145" s="4"/>
      <c r="U2145" s="4"/>
      <c r="V2145" s="4"/>
      <c r="W2145" s="4"/>
      <c r="X2145" s="4"/>
      <c r="Y2145" s="4"/>
      <c r="Z2145" s="4"/>
      <c r="AA2145" s="4"/>
      <c r="AB2145" s="4"/>
      <c r="AC2145" s="4"/>
      <c r="AD2145" s="4"/>
      <c r="AE2145" s="4"/>
      <c r="AF2145" s="4"/>
      <c r="AG2145" s="4"/>
      <c r="AH2145" s="4"/>
      <c r="AI2145" s="4"/>
      <c r="AJ2145" s="4"/>
      <c r="AK2145" s="4"/>
      <c r="AL2145" s="4"/>
      <c r="AM2145" s="4"/>
      <c r="AN2145" s="4"/>
      <c r="AO2145" s="4"/>
      <c r="AP2145" s="4"/>
      <c r="AQ2145" s="4"/>
      <c r="AR2145" s="4"/>
      <c r="AS2145" s="4"/>
      <c r="AT2145" s="4"/>
      <c r="AU2145" s="4"/>
      <c r="AV2145" s="4"/>
    </row>
    <row r="2146" spans="4:48" x14ac:dyDescent="0.3">
      <c r="D2146" s="5"/>
      <c r="E2146" s="5"/>
      <c r="F2146" s="20"/>
      <c r="G2146" s="20"/>
      <c r="H2146" s="5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4"/>
      <c r="T2146" s="4"/>
      <c r="U2146" s="4"/>
      <c r="V2146" s="4"/>
      <c r="W2146" s="4"/>
      <c r="X2146" s="4"/>
      <c r="Y2146" s="4"/>
      <c r="Z2146" s="4"/>
      <c r="AA2146" s="4"/>
      <c r="AB2146" s="4"/>
      <c r="AC2146" s="4"/>
      <c r="AD2146" s="4"/>
      <c r="AE2146" s="4"/>
      <c r="AF2146" s="4"/>
      <c r="AG2146" s="4"/>
      <c r="AH2146" s="4"/>
      <c r="AI2146" s="4"/>
      <c r="AJ2146" s="4"/>
      <c r="AK2146" s="4"/>
      <c r="AL2146" s="4"/>
      <c r="AM2146" s="4"/>
      <c r="AN2146" s="4"/>
      <c r="AO2146" s="4"/>
      <c r="AP2146" s="4"/>
      <c r="AQ2146" s="4"/>
      <c r="AR2146" s="4"/>
      <c r="AS2146" s="4"/>
      <c r="AT2146" s="4"/>
      <c r="AU2146" s="4"/>
      <c r="AV2146" s="4"/>
    </row>
    <row r="2147" spans="4:48" x14ac:dyDescent="0.3">
      <c r="D2147" s="5"/>
      <c r="E2147" s="5"/>
      <c r="F2147" s="20"/>
      <c r="G2147" s="20"/>
      <c r="H2147" s="5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4"/>
      <c r="T2147" s="4"/>
      <c r="U2147" s="4"/>
      <c r="V2147" s="4"/>
      <c r="W2147" s="4"/>
      <c r="X2147" s="4"/>
      <c r="Y2147" s="4"/>
      <c r="Z2147" s="4"/>
      <c r="AA2147" s="4"/>
      <c r="AB2147" s="4"/>
      <c r="AC2147" s="4"/>
      <c r="AD2147" s="4"/>
      <c r="AE2147" s="4"/>
      <c r="AF2147" s="4"/>
      <c r="AG2147" s="4"/>
      <c r="AH2147" s="4"/>
      <c r="AI2147" s="4"/>
      <c r="AJ2147" s="4"/>
      <c r="AK2147" s="4"/>
      <c r="AL2147" s="4"/>
      <c r="AM2147" s="4"/>
      <c r="AN2147" s="4"/>
      <c r="AO2147" s="4"/>
      <c r="AP2147" s="4"/>
      <c r="AQ2147" s="4"/>
      <c r="AR2147" s="4"/>
      <c r="AS2147" s="4"/>
      <c r="AT2147" s="4"/>
      <c r="AU2147" s="4"/>
      <c r="AV2147" s="4"/>
    </row>
    <row r="2148" spans="4:48" x14ac:dyDescent="0.3">
      <c r="D2148" s="5"/>
      <c r="E2148" s="5"/>
      <c r="F2148" s="20"/>
      <c r="G2148" s="20"/>
      <c r="H2148" s="5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4"/>
      <c r="T2148" s="4"/>
      <c r="U2148" s="4"/>
      <c r="V2148" s="4"/>
      <c r="W2148" s="4"/>
      <c r="X2148" s="4"/>
      <c r="Y2148" s="4"/>
      <c r="Z2148" s="4"/>
      <c r="AA2148" s="4"/>
      <c r="AB2148" s="4"/>
      <c r="AC2148" s="4"/>
      <c r="AD2148" s="4"/>
      <c r="AE2148" s="4"/>
      <c r="AF2148" s="4"/>
      <c r="AG2148" s="4"/>
      <c r="AH2148" s="4"/>
      <c r="AI2148" s="4"/>
      <c r="AJ2148" s="4"/>
      <c r="AK2148" s="4"/>
      <c r="AL2148" s="4"/>
      <c r="AM2148" s="4"/>
      <c r="AN2148" s="4"/>
      <c r="AO2148" s="4"/>
      <c r="AP2148" s="4"/>
      <c r="AQ2148" s="4"/>
      <c r="AR2148" s="4"/>
      <c r="AS2148" s="4"/>
      <c r="AT2148" s="4"/>
      <c r="AU2148" s="4"/>
      <c r="AV2148" s="4"/>
    </row>
    <row r="2149" spans="4:48" x14ac:dyDescent="0.3">
      <c r="D2149" s="5"/>
      <c r="E2149" s="5"/>
      <c r="F2149" s="20"/>
      <c r="G2149" s="20"/>
      <c r="H2149" s="5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4"/>
      <c r="T2149" s="4"/>
      <c r="U2149" s="4"/>
      <c r="V2149" s="4"/>
      <c r="W2149" s="4"/>
      <c r="X2149" s="4"/>
      <c r="Y2149" s="4"/>
      <c r="Z2149" s="4"/>
      <c r="AA2149" s="4"/>
      <c r="AB2149" s="4"/>
      <c r="AC2149" s="4"/>
      <c r="AD2149" s="4"/>
      <c r="AE2149" s="4"/>
      <c r="AF2149" s="4"/>
      <c r="AG2149" s="4"/>
      <c r="AH2149" s="4"/>
      <c r="AI2149" s="4"/>
      <c r="AJ2149" s="4"/>
      <c r="AK2149" s="4"/>
      <c r="AL2149" s="4"/>
      <c r="AM2149" s="4"/>
      <c r="AN2149" s="4"/>
      <c r="AO2149" s="4"/>
      <c r="AP2149" s="4"/>
      <c r="AQ2149" s="4"/>
      <c r="AR2149" s="4"/>
      <c r="AS2149" s="4"/>
      <c r="AT2149" s="4"/>
      <c r="AU2149" s="4"/>
      <c r="AV2149" s="4"/>
    </row>
    <row r="2150" spans="4:48" x14ac:dyDescent="0.3">
      <c r="D2150" s="5"/>
      <c r="E2150" s="5"/>
      <c r="F2150" s="20"/>
      <c r="G2150" s="20"/>
      <c r="H2150" s="5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4"/>
      <c r="T2150" s="4"/>
      <c r="U2150" s="4"/>
      <c r="V2150" s="4"/>
      <c r="W2150" s="4"/>
      <c r="X2150" s="4"/>
      <c r="Y2150" s="4"/>
      <c r="Z2150" s="4"/>
      <c r="AA2150" s="4"/>
      <c r="AB2150" s="4"/>
      <c r="AC2150" s="4"/>
      <c r="AD2150" s="4"/>
      <c r="AE2150" s="4"/>
      <c r="AF2150" s="4"/>
      <c r="AG2150" s="4"/>
      <c r="AH2150" s="4"/>
      <c r="AI2150" s="4"/>
      <c r="AJ2150" s="4"/>
      <c r="AK2150" s="4"/>
      <c r="AL2150" s="4"/>
      <c r="AM2150" s="4"/>
      <c r="AN2150" s="4"/>
      <c r="AO2150" s="4"/>
      <c r="AP2150" s="4"/>
      <c r="AQ2150" s="4"/>
      <c r="AR2150" s="4"/>
      <c r="AS2150" s="4"/>
      <c r="AT2150" s="4"/>
      <c r="AU2150" s="4"/>
      <c r="AV2150" s="4"/>
    </row>
    <row r="2151" spans="4:48" x14ac:dyDescent="0.3">
      <c r="D2151" s="5"/>
      <c r="E2151" s="5"/>
      <c r="F2151" s="20"/>
      <c r="G2151" s="20"/>
      <c r="H2151" s="5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4"/>
      <c r="T2151" s="4"/>
      <c r="U2151" s="4"/>
      <c r="V2151" s="4"/>
      <c r="W2151" s="4"/>
      <c r="X2151" s="4"/>
      <c r="Y2151" s="4"/>
      <c r="Z2151" s="4"/>
      <c r="AA2151" s="4"/>
      <c r="AB2151" s="4"/>
      <c r="AC2151" s="4"/>
      <c r="AD2151" s="4"/>
      <c r="AE2151" s="4"/>
      <c r="AF2151" s="4"/>
      <c r="AG2151" s="4"/>
      <c r="AH2151" s="4"/>
      <c r="AI2151" s="4"/>
      <c r="AJ2151" s="4"/>
      <c r="AK2151" s="4"/>
      <c r="AL2151" s="4"/>
      <c r="AM2151" s="4"/>
      <c r="AN2151" s="4"/>
      <c r="AO2151" s="4"/>
      <c r="AP2151" s="4"/>
      <c r="AQ2151" s="4"/>
      <c r="AR2151" s="4"/>
      <c r="AS2151" s="4"/>
      <c r="AT2151" s="4"/>
      <c r="AU2151" s="4"/>
      <c r="AV2151" s="4"/>
    </row>
    <row r="2152" spans="4:48" x14ac:dyDescent="0.3">
      <c r="D2152" s="5"/>
      <c r="E2152" s="5"/>
      <c r="F2152" s="20"/>
      <c r="G2152" s="20"/>
      <c r="H2152" s="5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4"/>
      <c r="T2152" s="4"/>
      <c r="U2152" s="4"/>
      <c r="V2152" s="4"/>
      <c r="W2152" s="4"/>
      <c r="X2152" s="4"/>
      <c r="Y2152" s="4"/>
      <c r="Z2152" s="4"/>
      <c r="AA2152" s="4"/>
      <c r="AB2152" s="4"/>
      <c r="AC2152" s="4"/>
      <c r="AD2152" s="4"/>
      <c r="AE2152" s="4"/>
      <c r="AF2152" s="4"/>
      <c r="AG2152" s="4"/>
      <c r="AH2152" s="4"/>
      <c r="AI2152" s="4"/>
      <c r="AJ2152" s="4"/>
      <c r="AK2152" s="4"/>
      <c r="AL2152" s="4"/>
      <c r="AM2152" s="4"/>
      <c r="AN2152" s="4"/>
      <c r="AO2152" s="4"/>
      <c r="AP2152" s="4"/>
      <c r="AQ2152" s="4"/>
      <c r="AR2152" s="4"/>
      <c r="AS2152" s="4"/>
      <c r="AT2152" s="4"/>
      <c r="AU2152" s="4"/>
      <c r="AV2152" s="4"/>
    </row>
    <row r="2153" spans="4:48" x14ac:dyDescent="0.3">
      <c r="D2153" s="5"/>
      <c r="E2153" s="5"/>
      <c r="F2153" s="20"/>
      <c r="G2153" s="20"/>
      <c r="H2153" s="5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4"/>
      <c r="T2153" s="4"/>
      <c r="U2153" s="4"/>
      <c r="V2153" s="4"/>
      <c r="W2153" s="4"/>
      <c r="X2153" s="4"/>
      <c r="Y2153" s="4"/>
      <c r="Z2153" s="4"/>
      <c r="AA2153" s="4"/>
      <c r="AB2153" s="4"/>
      <c r="AC2153" s="4"/>
      <c r="AD2153" s="4"/>
      <c r="AE2153" s="4"/>
      <c r="AF2153" s="4"/>
      <c r="AG2153" s="4"/>
      <c r="AH2153" s="4"/>
      <c r="AI2153" s="4"/>
      <c r="AJ2153" s="4"/>
      <c r="AK2153" s="4"/>
      <c r="AL2153" s="4"/>
      <c r="AM2153" s="4"/>
      <c r="AN2153" s="4"/>
      <c r="AO2153" s="4"/>
      <c r="AP2153" s="4"/>
      <c r="AQ2153" s="4"/>
      <c r="AR2153" s="4"/>
      <c r="AS2153" s="4"/>
      <c r="AT2153" s="4"/>
      <c r="AU2153" s="4"/>
      <c r="AV2153" s="4"/>
    </row>
    <row r="2154" spans="4:48" x14ac:dyDescent="0.3">
      <c r="D2154" s="5"/>
      <c r="E2154" s="5"/>
      <c r="F2154" s="20"/>
      <c r="G2154" s="20"/>
      <c r="H2154" s="5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4"/>
      <c r="T2154" s="4"/>
      <c r="U2154" s="4"/>
      <c r="V2154" s="4"/>
      <c r="W2154" s="4"/>
      <c r="X2154" s="4"/>
      <c r="Y2154" s="4"/>
      <c r="Z2154" s="4"/>
      <c r="AA2154" s="4"/>
      <c r="AB2154" s="4"/>
      <c r="AC2154" s="4"/>
      <c r="AD2154" s="4"/>
      <c r="AE2154" s="4"/>
      <c r="AF2154" s="4"/>
      <c r="AG2154" s="4"/>
      <c r="AH2154" s="4"/>
      <c r="AI2154" s="4"/>
      <c r="AJ2154" s="4"/>
      <c r="AK2154" s="4"/>
      <c r="AL2154" s="4"/>
      <c r="AM2154" s="4"/>
      <c r="AN2154" s="4"/>
      <c r="AO2154" s="4"/>
      <c r="AP2154" s="4"/>
      <c r="AQ2154" s="4"/>
      <c r="AR2154" s="4"/>
      <c r="AS2154" s="4"/>
      <c r="AT2154" s="4"/>
      <c r="AU2154" s="4"/>
      <c r="AV2154" s="4"/>
    </row>
    <row r="2155" spans="4:48" x14ac:dyDescent="0.3">
      <c r="D2155" s="5"/>
      <c r="E2155" s="5"/>
      <c r="F2155" s="20"/>
      <c r="G2155" s="20"/>
      <c r="H2155" s="5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4"/>
      <c r="T2155" s="4"/>
      <c r="U2155" s="4"/>
      <c r="V2155" s="4"/>
      <c r="W2155" s="4"/>
      <c r="X2155" s="4"/>
      <c r="Y2155" s="4"/>
      <c r="Z2155" s="4"/>
      <c r="AA2155" s="4"/>
      <c r="AB2155" s="4"/>
      <c r="AC2155" s="4"/>
      <c r="AD2155" s="4"/>
      <c r="AE2155" s="4"/>
      <c r="AF2155" s="4"/>
      <c r="AG2155" s="4"/>
      <c r="AH2155" s="4"/>
      <c r="AI2155" s="4"/>
      <c r="AJ2155" s="4"/>
      <c r="AK2155" s="4"/>
      <c r="AL2155" s="4"/>
      <c r="AM2155" s="4"/>
      <c r="AN2155" s="4"/>
      <c r="AO2155" s="4"/>
      <c r="AP2155" s="4"/>
      <c r="AQ2155" s="4"/>
      <c r="AR2155" s="4"/>
      <c r="AS2155" s="4"/>
      <c r="AT2155" s="4"/>
      <c r="AU2155" s="4"/>
      <c r="AV2155" s="4"/>
    </row>
    <row r="2156" spans="4:48" x14ac:dyDescent="0.3">
      <c r="D2156" s="5"/>
      <c r="E2156" s="5"/>
      <c r="F2156" s="20"/>
      <c r="G2156" s="20"/>
      <c r="H2156" s="5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4"/>
      <c r="T2156" s="4"/>
      <c r="U2156" s="4"/>
      <c r="V2156" s="4"/>
      <c r="W2156" s="4"/>
      <c r="X2156" s="4"/>
      <c r="Y2156" s="4"/>
      <c r="Z2156" s="4"/>
      <c r="AA2156" s="4"/>
      <c r="AB2156" s="4"/>
      <c r="AC2156" s="4"/>
      <c r="AD2156" s="4"/>
      <c r="AE2156" s="4"/>
      <c r="AF2156" s="4"/>
      <c r="AG2156" s="4"/>
      <c r="AH2156" s="4"/>
      <c r="AI2156" s="4"/>
      <c r="AJ2156" s="4"/>
      <c r="AK2156" s="4"/>
      <c r="AL2156" s="4"/>
      <c r="AM2156" s="4"/>
      <c r="AN2156" s="4"/>
      <c r="AO2156" s="4"/>
      <c r="AP2156" s="4"/>
      <c r="AQ2156" s="4"/>
      <c r="AR2156" s="4"/>
      <c r="AS2156" s="4"/>
      <c r="AT2156" s="4"/>
      <c r="AU2156" s="4"/>
      <c r="AV2156" s="4"/>
    </row>
    <row r="2157" spans="4:48" x14ac:dyDescent="0.3">
      <c r="D2157" s="5"/>
      <c r="E2157" s="5"/>
      <c r="F2157" s="20"/>
      <c r="G2157" s="20"/>
      <c r="H2157" s="5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4"/>
      <c r="T2157" s="4"/>
      <c r="U2157" s="4"/>
      <c r="V2157" s="4"/>
      <c r="W2157" s="4"/>
      <c r="X2157" s="4"/>
      <c r="Y2157" s="4"/>
      <c r="Z2157" s="4"/>
      <c r="AA2157" s="4"/>
      <c r="AB2157" s="4"/>
      <c r="AC2157" s="4"/>
      <c r="AD2157" s="4"/>
      <c r="AE2157" s="4"/>
      <c r="AF2157" s="4"/>
      <c r="AG2157" s="4"/>
      <c r="AH2157" s="4"/>
      <c r="AI2157" s="4"/>
      <c r="AJ2157" s="4"/>
      <c r="AK2157" s="4"/>
      <c r="AL2157" s="4"/>
      <c r="AM2157" s="4"/>
      <c r="AN2157" s="4"/>
      <c r="AO2157" s="4"/>
      <c r="AP2157" s="4"/>
      <c r="AQ2157" s="4"/>
      <c r="AR2157" s="4"/>
      <c r="AS2157" s="4"/>
      <c r="AT2157" s="4"/>
      <c r="AU2157" s="4"/>
      <c r="AV2157" s="4"/>
    </row>
    <row r="2158" spans="4:48" x14ac:dyDescent="0.3">
      <c r="D2158" s="5"/>
      <c r="E2158" s="5"/>
      <c r="F2158" s="20"/>
      <c r="G2158" s="20"/>
      <c r="H2158" s="5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4"/>
      <c r="T2158" s="4"/>
      <c r="U2158" s="4"/>
      <c r="V2158" s="4"/>
      <c r="W2158" s="4"/>
      <c r="X2158" s="4"/>
      <c r="Y2158" s="4"/>
      <c r="Z2158" s="4"/>
      <c r="AA2158" s="4"/>
      <c r="AB2158" s="4"/>
      <c r="AC2158" s="4"/>
      <c r="AD2158" s="4"/>
      <c r="AE2158" s="4"/>
      <c r="AF2158" s="4"/>
      <c r="AG2158" s="4"/>
      <c r="AH2158" s="4"/>
      <c r="AI2158" s="4"/>
      <c r="AJ2158" s="4"/>
      <c r="AK2158" s="4"/>
      <c r="AL2158" s="4"/>
      <c r="AM2158" s="4"/>
      <c r="AN2158" s="4"/>
      <c r="AO2158" s="4"/>
      <c r="AP2158" s="4"/>
      <c r="AQ2158" s="4"/>
      <c r="AR2158" s="4"/>
      <c r="AS2158" s="4"/>
      <c r="AT2158" s="4"/>
      <c r="AU2158" s="4"/>
      <c r="AV2158" s="4"/>
    </row>
    <row r="2159" spans="4:48" x14ac:dyDescent="0.3">
      <c r="D2159" s="5"/>
      <c r="E2159" s="5"/>
      <c r="F2159" s="20"/>
      <c r="G2159" s="20"/>
      <c r="H2159" s="5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4"/>
      <c r="T2159" s="4"/>
      <c r="U2159" s="4"/>
      <c r="V2159" s="4"/>
      <c r="W2159" s="4"/>
      <c r="X2159" s="4"/>
      <c r="Y2159" s="4"/>
      <c r="Z2159" s="4"/>
      <c r="AA2159" s="4"/>
      <c r="AB2159" s="4"/>
      <c r="AC2159" s="4"/>
      <c r="AD2159" s="4"/>
      <c r="AE2159" s="4"/>
      <c r="AF2159" s="4"/>
      <c r="AG2159" s="4"/>
      <c r="AH2159" s="4"/>
      <c r="AI2159" s="4"/>
      <c r="AJ2159" s="4"/>
      <c r="AK2159" s="4"/>
      <c r="AL2159" s="4"/>
      <c r="AM2159" s="4"/>
      <c r="AN2159" s="4"/>
      <c r="AO2159" s="4"/>
      <c r="AP2159" s="4"/>
      <c r="AQ2159" s="4"/>
      <c r="AR2159" s="4"/>
      <c r="AS2159" s="4"/>
      <c r="AT2159" s="4"/>
      <c r="AU2159" s="4"/>
      <c r="AV2159" s="4"/>
    </row>
    <row r="2160" spans="4:48" x14ac:dyDescent="0.3">
      <c r="D2160" s="5"/>
      <c r="E2160" s="5"/>
      <c r="F2160" s="20"/>
      <c r="G2160" s="20"/>
      <c r="H2160" s="5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4"/>
      <c r="T2160" s="4"/>
      <c r="U2160" s="4"/>
      <c r="V2160" s="4"/>
      <c r="W2160" s="4"/>
      <c r="X2160" s="4"/>
      <c r="Y2160" s="4"/>
      <c r="Z2160" s="4"/>
      <c r="AA2160" s="4"/>
      <c r="AB2160" s="4"/>
      <c r="AC2160" s="4"/>
      <c r="AD2160" s="4"/>
      <c r="AE2160" s="4"/>
      <c r="AF2160" s="4"/>
      <c r="AG2160" s="4"/>
      <c r="AH2160" s="4"/>
      <c r="AI2160" s="4"/>
      <c r="AJ2160" s="4"/>
      <c r="AK2160" s="4"/>
      <c r="AL2160" s="4"/>
      <c r="AM2160" s="4"/>
      <c r="AN2160" s="4"/>
      <c r="AO2160" s="4"/>
      <c r="AP2160" s="4"/>
      <c r="AQ2160" s="4"/>
      <c r="AR2160" s="4"/>
      <c r="AS2160" s="4"/>
      <c r="AT2160" s="4"/>
      <c r="AU2160" s="4"/>
      <c r="AV2160" s="4"/>
    </row>
    <row r="2161" spans="4:48" x14ac:dyDescent="0.3">
      <c r="D2161" s="5"/>
      <c r="E2161" s="5"/>
      <c r="F2161" s="20"/>
      <c r="G2161" s="20"/>
      <c r="H2161" s="5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4"/>
      <c r="T2161" s="4"/>
      <c r="U2161" s="4"/>
      <c r="V2161" s="4"/>
      <c r="W2161" s="4"/>
      <c r="X2161" s="4"/>
      <c r="Y2161" s="4"/>
      <c r="Z2161" s="4"/>
      <c r="AA2161" s="4"/>
      <c r="AB2161" s="4"/>
      <c r="AC2161" s="4"/>
      <c r="AD2161" s="4"/>
      <c r="AE2161" s="4"/>
      <c r="AF2161" s="4"/>
      <c r="AG2161" s="4"/>
      <c r="AH2161" s="4"/>
      <c r="AI2161" s="4"/>
      <c r="AJ2161" s="4"/>
      <c r="AK2161" s="4"/>
      <c r="AL2161" s="4"/>
      <c r="AM2161" s="4"/>
      <c r="AN2161" s="4"/>
      <c r="AO2161" s="4"/>
      <c r="AP2161" s="4"/>
      <c r="AQ2161" s="4"/>
      <c r="AR2161" s="4"/>
      <c r="AS2161" s="4"/>
      <c r="AT2161" s="4"/>
      <c r="AU2161" s="4"/>
      <c r="AV2161" s="4"/>
    </row>
    <row r="2162" spans="4:48" x14ac:dyDescent="0.3">
      <c r="D2162" s="5"/>
      <c r="E2162" s="5"/>
      <c r="F2162" s="20"/>
      <c r="G2162" s="20"/>
      <c r="H2162" s="5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4"/>
      <c r="T2162" s="4"/>
      <c r="U2162" s="4"/>
      <c r="V2162" s="4"/>
      <c r="W2162" s="4"/>
      <c r="X2162" s="4"/>
      <c r="Y2162" s="4"/>
      <c r="Z2162" s="4"/>
      <c r="AA2162" s="4"/>
      <c r="AB2162" s="4"/>
      <c r="AC2162" s="4"/>
      <c r="AD2162" s="4"/>
      <c r="AE2162" s="4"/>
      <c r="AF2162" s="4"/>
      <c r="AG2162" s="4"/>
      <c r="AH2162" s="4"/>
      <c r="AI2162" s="4"/>
      <c r="AJ2162" s="4"/>
      <c r="AK2162" s="4"/>
      <c r="AL2162" s="4"/>
      <c r="AM2162" s="4"/>
      <c r="AN2162" s="4"/>
      <c r="AO2162" s="4"/>
      <c r="AP2162" s="4"/>
      <c r="AQ2162" s="4"/>
      <c r="AR2162" s="4"/>
      <c r="AS2162" s="4"/>
      <c r="AT2162" s="4"/>
      <c r="AU2162" s="4"/>
      <c r="AV2162" s="4"/>
    </row>
    <row r="2163" spans="4:48" x14ac:dyDescent="0.3">
      <c r="D2163" s="5"/>
      <c r="E2163" s="5"/>
      <c r="F2163" s="20"/>
      <c r="G2163" s="20"/>
      <c r="H2163" s="5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4"/>
      <c r="T2163" s="4"/>
      <c r="U2163" s="4"/>
      <c r="V2163" s="4"/>
      <c r="W2163" s="4"/>
      <c r="X2163" s="4"/>
      <c r="Y2163" s="4"/>
      <c r="Z2163" s="4"/>
      <c r="AA2163" s="4"/>
      <c r="AB2163" s="4"/>
      <c r="AC2163" s="4"/>
      <c r="AD2163" s="4"/>
      <c r="AE2163" s="4"/>
      <c r="AF2163" s="4"/>
      <c r="AG2163" s="4"/>
      <c r="AH2163" s="4"/>
      <c r="AI2163" s="4"/>
      <c r="AJ2163" s="4"/>
      <c r="AK2163" s="4"/>
      <c r="AL2163" s="4"/>
      <c r="AM2163" s="4"/>
      <c r="AN2163" s="4"/>
      <c r="AO2163" s="4"/>
      <c r="AP2163" s="4"/>
      <c r="AQ2163" s="4"/>
      <c r="AR2163" s="4"/>
      <c r="AS2163" s="4"/>
      <c r="AT2163" s="4"/>
      <c r="AU2163" s="4"/>
      <c r="AV2163" s="4"/>
    </row>
    <row r="2164" spans="4:48" x14ac:dyDescent="0.3">
      <c r="D2164" s="5"/>
      <c r="E2164" s="5"/>
      <c r="F2164" s="20"/>
      <c r="G2164" s="20"/>
      <c r="H2164" s="5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4"/>
      <c r="T2164" s="4"/>
      <c r="U2164" s="4"/>
      <c r="V2164" s="4"/>
      <c r="W2164" s="4"/>
      <c r="X2164" s="4"/>
      <c r="Y2164" s="4"/>
      <c r="Z2164" s="4"/>
      <c r="AA2164" s="4"/>
      <c r="AB2164" s="4"/>
      <c r="AC2164" s="4"/>
      <c r="AD2164" s="4"/>
      <c r="AE2164" s="4"/>
      <c r="AF2164" s="4"/>
      <c r="AG2164" s="4"/>
      <c r="AH2164" s="4"/>
      <c r="AI2164" s="4"/>
      <c r="AJ2164" s="4"/>
      <c r="AK2164" s="4"/>
      <c r="AL2164" s="4"/>
      <c r="AM2164" s="4"/>
      <c r="AN2164" s="4"/>
      <c r="AO2164" s="4"/>
      <c r="AP2164" s="4"/>
      <c r="AQ2164" s="4"/>
      <c r="AR2164" s="4"/>
      <c r="AS2164" s="4"/>
      <c r="AT2164" s="4"/>
      <c r="AU2164" s="4"/>
      <c r="AV2164" s="4"/>
    </row>
    <row r="2165" spans="4:48" x14ac:dyDescent="0.3">
      <c r="D2165" s="5"/>
      <c r="E2165" s="5"/>
      <c r="F2165" s="20"/>
      <c r="G2165" s="20"/>
      <c r="H2165" s="5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4"/>
      <c r="T2165" s="4"/>
      <c r="U2165" s="4"/>
      <c r="V2165" s="4"/>
      <c r="W2165" s="4"/>
      <c r="X2165" s="4"/>
      <c r="Y2165" s="4"/>
      <c r="Z2165" s="4"/>
      <c r="AA2165" s="4"/>
      <c r="AB2165" s="4"/>
      <c r="AC2165" s="4"/>
      <c r="AD2165" s="4"/>
      <c r="AE2165" s="4"/>
      <c r="AF2165" s="4"/>
      <c r="AG2165" s="4"/>
      <c r="AH2165" s="4"/>
      <c r="AI2165" s="4"/>
      <c r="AJ2165" s="4"/>
      <c r="AK2165" s="4"/>
      <c r="AL2165" s="4"/>
      <c r="AM2165" s="4"/>
      <c r="AN2165" s="4"/>
      <c r="AO2165" s="4"/>
      <c r="AP2165" s="4"/>
      <c r="AQ2165" s="4"/>
      <c r="AR2165" s="4"/>
      <c r="AS2165" s="4"/>
      <c r="AT2165" s="4"/>
      <c r="AU2165" s="4"/>
      <c r="AV2165" s="4"/>
    </row>
    <row r="2166" spans="4:48" x14ac:dyDescent="0.3">
      <c r="D2166" s="5"/>
      <c r="E2166" s="5"/>
      <c r="F2166" s="20"/>
      <c r="G2166" s="20"/>
      <c r="H2166" s="5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4"/>
      <c r="T2166" s="4"/>
      <c r="U2166" s="4"/>
      <c r="V2166" s="4"/>
      <c r="W2166" s="4"/>
      <c r="X2166" s="4"/>
      <c r="Y2166" s="4"/>
      <c r="Z2166" s="4"/>
      <c r="AA2166" s="4"/>
      <c r="AB2166" s="4"/>
      <c r="AC2166" s="4"/>
      <c r="AD2166" s="4"/>
      <c r="AE2166" s="4"/>
      <c r="AF2166" s="4"/>
      <c r="AG2166" s="4"/>
      <c r="AH2166" s="4"/>
      <c r="AI2166" s="4"/>
      <c r="AJ2166" s="4"/>
      <c r="AK2166" s="4"/>
      <c r="AL2166" s="4"/>
      <c r="AM2166" s="4"/>
      <c r="AN2166" s="4"/>
      <c r="AO2166" s="4"/>
      <c r="AP2166" s="4"/>
      <c r="AQ2166" s="4"/>
      <c r="AR2166" s="4"/>
      <c r="AS2166" s="4"/>
      <c r="AT2166" s="4"/>
      <c r="AU2166" s="4"/>
      <c r="AV2166" s="4"/>
    </row>
    <row r="2167" spans="4:48" x14ac:dyDescent="0.3">
      <c r="D2167" s="5"/>
      <c r="E2167" s="5"/>
      <c r="F2167" s="20"/>
      <c r="G2167" s="20"/>
      <c r="H2167" s="5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4"/>
      <c r="T2167" s="4"/>
      <c r="U2167" s="4"/>
      <c r="V2167" s="4"/>
      <c r="W2167" s="4"/>
      <c r="X2167" s="4"/>
      <c r="Y2167" s="4"/>
      <c r="Z2167" s="4"/>
      <c r="AA2167" s="4"/>
      <c r="AB2167" s="4"/>
      <c r="AC2167" s="4"/>
      <c r="AD2167" s="4"/>
      <c r="AE2167" s="4"/>
      <c r="AF2167" s="4"/>
      <c r="AG2167" s="4"/>
      <c r="AH2167" s="4"/>
      <c r="AI2167" s="4"/>
      <c r="AJ2167" s="4"/>
      <c r="AK2167" s="4"/>
      <c r="AL2167" s="4"/>
      <c r="AM2167" s="4"/>
      <c r="AN2167" s="4"/>
      <c r="AO2167" s="4"/>
      <c r="AP2167" s="4"/>
      <c r="AQ2167" s="4"/>
      <c r="AR2167" s="4"/>
      <c r="AS2167" s="4"/>
      <c r="AT2167" s="4"/>
      <c r="AU2167" s="4"/>
      <c r="AV2167" s="4"/>
    </row>
    <row r="2168" spans="4:48" x14ac:dyDescent="0.3">
      <c r="D2168" s="5"/>
      <c r="E2168" s="5"/>
      <c r="F2168" s="20"/>
      <c r="G2168" s="20"/>
      <c r="H2168" s="5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4"/>
      <c r="T2168" s="4"/>
      <c r="U2168" s="4"/>
      <c r="V2168" s="4"/>
      <c r="W2168" s="4"/>
      <c r="X2168" s="4"/>
      <c r="Y2168" s="4"/>
      <c r="Z2168" s="4"/>
      <c r="AA2168" s="4"/>
      <c r="AB2168" s="4"/>
      <c r="AC2168" s="4"/>
      <c r="AD2168" s="4"/>
      <c r="AE2168" s="4"/>
      <c r="AF2168" s="4"/>
      <c r="AG2168" s="4"/>
      <c r="AH2168" s="4"/>
      <c r="AI2168" s="4"/>
      <c r="AJ2168" s="4"/>
      <c r="AK2168" s="4"/>
      <c r="AL2168" s="4"/>
      <c r="AM2168" s="4"/>
      <c r="AN2168" s="4"/>
      <c r="AO2168" s="4"/>
      <c r="AP2168" s="4"/>
      <c r="AQ2168" s="4"/>
      <c r="AR2168" s="4"/>
      <c r="AS2168" s="4"/>
      <c r="AT2168" s="4"/>
      <c r="AU2168" s="4"/>
      <c r="AV2168" s="4"/>
    </row>
    <row r="2169" spans="4:48" x14ac:dyDescent="0.3">
      <c r="D2169" s="5"/>
      <c r="E2169" s="5"/>
      <c r="F2169" s="20"/>
      <c r="G2169" s="20"/>
      <c r="H2169" s="5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4"/>
      <c r="T2169" s="4"/>
      <c r="U2169" s="4"/>
      <c r="V2169" s="4"/>
      <c r="W2169" s="4"/>
      <c r="X2169" s="4"/>
      <c r="Y2169" s="4"/>
      <c r="Z2169" s="4"/>
      <c r="AA2169" s="4"/>
      <c r="AB2169" s="4"/>
      <c r="AC2169" s="4"/>
      <c r="AD2169" s="4"/>
      <c r="AE2169" s="4"/>
      <c r="AF2169" s="4"/>
      <c r="AG2169" s="4"/>
      <c r="AH2169" s="4"/>
      <c r="AI2169" s="4"/>
      <c r="AJ2169" s="4"/>
      <c r="AK2169" s="4"/>
      <c r="AL2169" s="4"/>
      <c r="AM2169" s="4"/>
      <c r="AN2169" s="4"/>
      <c r="AO2169" s="4"/>
      <c r="AP2169" s="4"/>
      <c r="AQ2169" s="4"/>
      <c r="AR2169" s="4"/>
      <c r="AS2169" s="4"/>
      <c r="AT2169" s="4"/>
      <c r="AU2169" s="4"/>
      <c r="AV2169" s="4"/>
    </row>
    <row r="2170" spans="4:48" x14ac:dyDescent="0.3">
      <c r="D2170" s="5"/>
      <c r="E2170" s="5"/>
      <c r="F2170" s="20"/>
      <c r="G2170" s="20"/>
      <c r="H2170" s="5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4"/>
      <c r="T2170" s="4"/>
      <c r="U2170" s="4"/>
      <c r="V2170" s="4"/>
      <c r="W2170" s="4"/>
      <c r="X2170" s="4"/>
      <c r="Y2170" s="4"/>
      <c r="Z2170" s="4"/>
      <c r="AA2170" s="4"/>
      <c r="AB2170" s="4"/>
      <c r="AC2170" s="4"/>
      <c r="AD2170" s="4"/>
      <c r="AE2170" s="4"/>
      <c r="AF2170" s="4"/>
      <c r="AG2170" s="4"/>
      <c r="AH2170" s="4"/>
      <c r="AI2170" s="4"/>
      <c r="AJ2170" s="4"/>
      <c r="AK2170" s="4"/>
      <c r="AL2170" s="4"/>
      <c r="AM2170" s="4"/>
      <c r="AN2170" s="4"/>
      <c r="AO2170" s="4"/>
      <c r="AP2170" s="4"/>
      <c r="AQ2170" s="4"/>
      <c r="AR2170" s="4"/>
      <c r="AS2170" s="4"/>
      <c r="AT2170" s="4"/>
      <c r="AU2170" s="4"/>
      <c r="AV2170" s="4"/>
    </row>
    <row r="2171" spans="4:48" x14ac:dyDescent="0.3">
      <c r="D2171" s="5"/>
      <c r="E2171" s="5"/>
      <c r="F2171" s="20"/>
      <c r="G2171" s="20"/>
      <c r="H2171" s="5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4"/>
      <c r="T2171" s="4"/>
      <c r="U2171" s="4"/>
      <c r="V2171" s="4"/>
      <c r="W2171" s="4"/>
      <c r="X2171" s="4"/>
      <c r="Y2171" s="4"/>
      <c r="Z2171" s="4"/>
      <c r="AA2171" s="4"/>
      <c r="AB2171" s="4"/>
      <c r="AC2171" s="4"/>
      <c r="AD2171" s="4"/>
      <c r="AE2171" s="4"/>
      <c r="AF2171" s="4"/>
      <c r="AG2171" s="4"/>
      <c r="AH2171" s="4"/>
      <c r="AI2171" s="4"/>
      <c r="AJ2171" s="4"/>
      <c r="AK2171" s="4"/>
      <c r="AL2171" s="4"/>
      <c r="AM2171" s="4"/>
      <c r="AN2171" s="4"/>
      <c r="AO2171" s="4"/>
      <c r="AP2171" s="4"/>
      <c r="AQ2171" s="4"/>
      <c r="AR2171" s="4"/>
      <c r="AS2171" s="4"/>
      <c r="AT2171" s="4"/>
      <c r="AU2171" s="4"/>
      <c r="AV2171" s="4"/>
    </row>
    <row r="2172" spans="4:48" x14ac:dyDescent="0.3">
      <c r="D2172" s="5"/>
      <c r="E2172" s="5"/>
      <c r="F2172" s="20"/>
      <c r="G2172" s="20"/>
      <c r="H2172" s="5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4"/>
      <c r="T2172" s="4"/>
      <c r="U2172" s="4"/>
      <c r="V2172" s="4"/>
      <c r="W2172" s="4"/>
      <c r="X2172" s="4"/>
      <c r="Y2172" s="4"/>
      <c r="Z2172" s="4"/>
      <c r="AA2172" s="4"/>
      <c r="AB2172" s="4"/>
      <c r="AC2172" s="4"/>
      <c r="AD2172" s="4"/>
      <c r="AE2172" s="4"/>
      <c r="AF2172" s="4"/>
      <c r="AG2172" s="4"/>
      <c r="AH2172" s="4"/>
      <c r="AI2172" s="4"/>
      <c r="AJ2172" s="4"/>
      <c r="AK2172" s="4"/>
      <c r="AL2172" s="4"/>
      <c r="AM2172" s="4"/>
      <c r="AN2172" s="4"/>
      <c r="AO2172" s="4"/>
      <c r="AP2172" s="4"/>
      <c r="AQ2172" s="4"/>
      <c r="AR2172" s="4"/>
      <c r="AS2172" s="4"/>
      <c r="AT2172" s="4"/>
      <c r="AU2172" s="4"/>
      <c r="AV2172" s="4"/>
    </row>
    <row r="2173" spans="4:48" x14ac:dyDescent="0.3">
      <c r="D2173" s="5"/>
      <c r="E2173" s="5"/>
      <c r="F2173" s="20"/>
      <c r="G2173" s="20"/>
      <c r="H2173" s="5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4"/>
      <c r="T2173" s="4"/>
      <c r="U2173" s="4"/>
      <c r="V2173" s="4"/>
      <c r="W2173" s="4"/>
      <c r="X2173" s="4"/>
      <c r="Y2173" s="4"/>
      <c r="Z2173" s="4"/>
      <c r="AA2173" s="4"/>
      <c r="AB2173" s="4"/>
      <c r="AC2173" s="4"/>
      <c r="AD2173" s="4"/>
      <c r="AE2173" s="4"/>
      <c r="AF2173" s="4"/>
      <c r="AG2173" s="4"/>
      <c r="AH2173" s="4"/>
      <c r="AI2173" s="4"/>
      <c r="AJ2173" s="4"/>
      <c r="AK2173" s="4"/>
      <c r="AL2173" s="4"/>
      <c r="AM2173" s="4"/>
      <c r="AN2173" s="4"/>
      <c r="AO2173" s="4"/>
      <c r="AP2173" s="4"/>
      <c r="AQ2173" s="4"/>
      <c r="AR2173" s="4"/>
      <c r="AS2173" s="4"/>
      <c r="AT2173" s="4"/>
      <c r="AU2173" s="4"/>
      <c r="AV2173" s="4"/>
    </row>
    <row r="2174" spans="4:48" x14ac:dyDescent="0.3">
      <c r="D2174" s="5"/>
      <c r="E2174" s="5"/>
      <c r="F2174" s="20"/>
      <c r="G2174" s="20"/>
      <c r="H2174" s="5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4"/>
      <c r="T2174" s="4"/>
      <c r="U2174" s="4"/>
      <c r="V2174" s="4"/>
      <c r="W2174" s="4"/>
      <c r="X2174" s="4"/>
      <c r="Y2174" s="4"/>
      <c r="Z2174" s="4"/>
      <c r="AA2174" s="4"/>
      <c r="AB2174" s="4"/>
      <c r="AC2174" s="4"/>
      <c r="AD2174" s="4"/>
      <c r="AE2174" s="4"/>
      <c r="AF2174" s="4"/>
      <c r="AG2174" s="4"/>
      <c r="AH2174" s="4"/>
      <c r="AI2174" s="4"/>
      <c r="AJ2174" s="4"/>
      <c r="AK2174" s="4"/>
      <c r="AL2174" s="4"/>
      <c r="AM2174" s="4"/>
      <c r="AN2174" s="4"/>
      <c r="AO2174" s="4"/>
      <c r="AP2174" s="4"/>
      <c r="AQ2174" s="4"/>
      <c r="AR2174" s="4"/>
      <c r="AS2174" s="4"/>
      <c r="AT2174" s="4"/>
      <c r="AU2174" s="4"/>
      <c r="AV2174" s="4"/>
    </row>
    <row r="2175" spans="4:48" x14ac:dyDescent="0.3">
      <c r="D2175" s="5"/>
      <c r="E2175" s="5"/>
      <c r="F2175" s="20"/>
      <c r="G2175" s="20"/>
      <c r="H2175" s="5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4"/>
      <c r="T2175" s="4"/>
      <c r="U2175" s="4"/>
      <c r="V2175" s="4"/>
      <c r="W2175" s="4"/>
      <c r="X2175" s="4"/>
      <c r="Y2175" s="4"/>
      <c r="Z2175" s="4"/>
      <c r="AA2175" s="4"/>
      <c r="AB2175" s="4"/>
      <c r="AC2175" s="4"/>
      <c r="AD2175" s="4"/>
      <c r="AE2175" s="4"/>
      <c r="AF2175" s="4"/>
      <c r="AG2175" s="4"/>
      <c r="AH2175" s="4"/>
      <c r="AI2175" s="4"/>
      <c r="AJ2175" s="4"/>
      <c r="AK2175" s="4"/>
      <c r="AL2175" s="4"/>
      <c r="AM2175" s="4"/>
      <c r="AN2175" s="4"/>
      <c r="AO2175" s="4"/>
      <c r="AP2175" s="4"/>
      <c r="AQ2175" s="4"/>
      <c r="AR2175" s="4"/>
      <c r="AS2175" s="4"/>
      <c r="AT2175" s="4"/>
      <c r="AU2175" s="4"/>
      <c r="AV2175" s="4"/>
    </row>
    <row r="2176" spans="4:48" x14ac:dyDescent="0.3">
      <c r="D2176" s="5"/>
      <c r="E2176" s="5"/>
      <c r="F2176" s="20"/>
      <c r="G2176" s="20"/>
      <c r="H2176" s="5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4"/>
      <c r="T2176" s="4"/>
      <c r="U2176" s="4"/>
      <c r="V2176" s="4"/>
      <c r="W2176" s="4"/>
      <c r="X2176" s="4"/>
      <c r="Y2176" s="4"/>
      <c r="Z2176" s="4"/>
      <c r="AA2176" s="4"/>
      <c r="AB2176" s="4"/>
      <c r="AC2176" s="4"/>
      <c r="AD2176" s="4"/>
      <c r="AE2176" s="4"/>
      <c r="AF2176" s="4"/>
      <c r="AG2176" s="4"/>
      <c r="AH2176" s="4"/>
      <c r="AI2176" s="4"/>
      <c r="AJ2176" s="4"/>
      <c r="AK2176" s="4"/>
      <c r="AL2176" s="4"/>
      <c r="AM2176" s="4"/>
      <c r="AN2176" s="4"/>
      <c r="AO2176" s="4"/>
      <c r="AP2176" s="4"/>
      <c r="AQ2176" s="4"/>
      <c r="AR2176" s="4"/>
      <c r="AS2176" s="4"/>
      <c r="AT2176" s="4"/>
      <c r="AU2176" s="4"/>
      <c r="AV2176" s="4"/>
    </row>
    <row r="2177" spans="4:48" x14ac:dyDescent="0.3">
      <c r="D2177" s="5"/>
      <c r="E2177" s="5"/>
      <c r="F2177" s="20"/>
      <c r="G2177" s="20"/>
      <c r="H2177" s="5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4"/>
      <c r="T2177" s="4"/>
      <c r="U2177" s="4"/>
      <c r="V2177" s="4"/>
      <c r="W2177" s="4"/>
      <c r="X2177" s="4"/>
      <c r="Y2177" s="4"/>
      <c r="Z2177" s="4"/>
      <c r="AA2177" s="4"/>
      <c r="AB2177" s="4"/>
      <c r="AC2177" s="4"/>
      <c r="AD2177" s="4"/>
      <c r="AE2177" s="4"/>
      <c r="AF2177" s="4"/>
      <c r="AG2177" s="4"/>
      <c r="AH2177" s="4"/>
      <c r="AI2177" s="4"/>
      <c r="AJ2177" s="4"/>
      <c r="AK2177" s="4"/>
      <c r="AL2177" s="4"/>
      <c r="AM2177" s="4"/>
      <c r="AN2177" s="4"/>
      <c r="AO2177" s="4"/>
      <c r="AP2177" s="4"/>
      <c r="AQ2177" s="4"/>
      <c r="AR2177" s="4"/>
      <c r="AS2177" s="4"/>
      <c r="AT2177" s="4"/>
      <c r="AU2177" s="4"/>
      <c r="AV2177" s="4"/>
    </row>
    <row r="2178" spans="4:48" x14ac:dyDescent="0.3">
      <c r="D2178" s="5"/>
      <c r="E2178" s="5"/>
      <c r="F2178" s="20"/>
      <c r="G2178" s="20"/>
      <c r="H2178" s="5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4"/>
      <c r="T2178" s="4"/>
      <c r="U2178" s="4"/>
      <c r="V2178" s="4"/>
      <c r="W2178" s="4"/>
      <c r="X2178" s="4"/>
      <c r="Y2178" s="4"/>
      <c r="Z2178" s="4"/>
      <c r="AA2178" s="4"/>
      <c r="AB2178" s="4"/>
      <c r="AC2178" s="4"/>
      <c r="AD2178" s="4"/>
      <c r="AE2178" s="4"/>
      <c r="AF2178" s="4"/>
      <c r="AG2178" s="4"/>
      <c r="AH2178" s="4"/>
      <c r="AI2178" s="4"/>
      <c r="AJ2178" s="4"/>
      <c r="AK2178" s="4"/>
      <c r="AL2178" s="4"/>
      <c r="AM2178" s="4"/>
      <c r="AN2178" s="4"/>
      <c r="AO2178" s="4"/>
      <c r="AP2178" s="4"/>
      <c r="AQ2178" s="4"/>
      <c r="AR2178" s="4"/>
      <c r="AS2178" s="4"/>
      <c r="AT2178" s="4"/>
      <c r="AU2178" s="4"/>
      <c r="AV2178" s="4"/>
    </row>
    <row r="2179" spans="4:48" x14ac:dyDescent="0.3">
      <c r="D2179" s="5"/>
      <c r="E2179" s="5"/>
      <c r="F2179" s="20"/>
      <c r="G2179" s="20"/>
      <c r="H2179" s="5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4"/>
      <c r="T2179" s="4"/>
      <c r="U2179" s="4"/>
      <c r="V2179" s="4"/>
      <c r="W2179" s="4"/>
      <c r="X2179" s="4"/>
      <c r="Y2179" s="4"/>
      <c r="Z2179" s="4"/>
      <c r="AA2179" s="4"/>
      <c r="AB2179" s="4"/>
      <c r="AC2179" s="4"/>
      <c r="AD2179" s="4"/>
      <c r="AE2179" s="4"/>
      <c r="AF2179" s="4"/>
      <c r="AG2179" s="4"/>
      <c r="AH2179" s="4"/>
      <c r="AI2179" s="4"/>
      <c r="AJ2179" s="4"/>
      <c r="AK2179" s="4"/>
      <c r="AL2179" s="4"/>
      <c r="AM2179" s="4"/>
      <c r="AN2179" s="4"/>
      <c r="AO2179" s="4"/>
      <c r="AP2179" s="4"/>
      <c r="AQ2179" s="4"/>
      <c r="AR2179" s="4"/>
      <c r="AS2179" s="4"/>
      <c r="AT2179" s="4"/>
      <c r="AU2179" s="4"/>
      <c r="AV2179" s="4"/>
    </row>
    <row r="2180" spans="4:48" x14ac:dyDescent="0.3">
      <c r="D2180" s="5"/>
      <c r="E2180" s="5"/>
      <c r="F2180" s="20"/>
      <c r="G2180" s="20"/>
      <c r="H2180" s="5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C2180" s="4"/>
      <c r="AD2180" s="4"/>
      <c r="AE2180" s="4"/>
      <c r="AF2180" s="4"/>
      <c r="AG2180" s="4"/>
      <c r="AH2180" s="4"/>
      <c r="AI2180" s="4"/>
      <c r="AJ2180" s="4"/>
      <c r="AK2180" s="4"/>
      <c r="AL2180" s="4"/>
      <c r="AM2180" s="4"/>
      <c r="AN2180" s="4"/>
      <c r="AO2180" s="4"/>
      <c r="AP2180" s="4"/>
      <c r="AQ2180" s="4"/>
      <c r="AR2180" s="4"/>
      <c r="AS2180" s="4"/>
      <c r="AT2180" s="4"/>
      <c r="AU2180" s="4"/>
      <c r="AV2180" s="4"/>
    </row>
    <row r="2181" spans="4:48" x14ac:dyDescent="0.3">
      <c r="D2181" s="5"/>
      <c r="E2181" s="5"/>
      <c r="F2181" s="20"/>
      <c r="G2181" s="20"/>
      <c r="H2181" s="5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4"/>
      <c r="T2181" s="4"/>
      <c r="U2181" s="4"/>
      <c r="V2181" s="4"/>
      <c r="W2181" s="4"/>
      <c r="X2181" s="4"/>
      <c r="Y2181" s="4"/>
      <c r="Z2181" s="4"/>
      <c r="AA2181" s="4"/>
      <c r="AB2181" s="4"/>
      <c r="AC2181" s="4"/>
      <c r="AD2181" s="4"/>
      <c r="AE2181" s="4"/>
      <c r="AF2181" s="4"/>
      <c r="AG2181" s="4"/>
      <c r="AH2181" s="4"/>
      <c r="AI2181" s="4"/>
      <c r="AJ2181" s="4"/>
      <c r="AK2181" s="4"/>
      <c r="AL2181" s="4"/>
      <c r="AM2181" s="4"/>
      <c r="AN2181" s="4"/>
      <c r="AO2181" s="4"/>
      <c r="AP2181" s="4"/>
      <c r="AQ2181" s="4"/>
      <c r="AR2181" s="4"/>
      <c r="AS2181" s="4"/>
      <c r="AT2181" s="4"/>
      <c r="AU2181" s="4"/>
      <c r="AV2181" s="4"/>
    </row>
    <row r="2182" spans="4:48" x14ac:dyDescent="0.3">
      <c r="D2182" s="5"/>
      <c r="E2182" s="5"/>
      <c r="F2182" s="20"/>
      <c r="G2182" s="20"/>
      <c r="H2182" s="5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4"/>
      <c r="T2182" s="4"/>
      <c r="U2182" s="4"/>
      <c r="V2182" s="4"/>
      <c r="W2182" s="4"/>
      <c r="X2182" s="4"/>
      <c r="Y2182" s="4"/>
      <c r="Z2182" s="4"/>
      <c r="AA2182" s="4"/>
      <c r="AB2182" s="4"/>
      <c r="AC2182" s="4"/>
      <c r="AD2182" s="4"/>
      <c r="AE2182" s="4"/>
      <c r="AF2182" s="4"/>
      <c r="AG2182" s="4"/>
      <c r="AH2182" s="4"/>
      <c r="AI2182" s="4"/>
      <c r="AJ2182" s="4"/>
      <c r="AK2182" s="4"/>
      <c r="AL2182" s="4"/>
      <c r="AM2182" s="4"/>
      <c r="AN2182" s="4"/>
      <c r="AO2182" s="4"/>
      <c r="AP2182" s="4"/>
      <c r="AQ2182" s="4"/>
      <c r="AR2182" s="4"/>
      <c r="AS2182" s="4"/>
      <c r="AT2182" s="4"/>
      <c r="AU2182" s="4"/>
      <c r="AV2182" s="4"/>
    </row>
    <row r="2183" spans="4:48" x14ac:dyDescent="0.3">
      <c r="D2183" s="5"/>
      <c r="E2183" s="5"/>
      <c r="F2183" s="20"/>
      <c r="G2183" s="20"/>
      <c r="H2183" s="5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4"/>
      <c r="T2183" s="4"/>
      <c r="U2183" s="4"/>
      <c r="V2183" s="4"/>
      <c r="W2183" s="4"/>
      <c r="X2183" s="4"/>
      <c r="Y2183" s="4"/>
      <c r="Z2183" s="4"/>
      <c r="AA2183" s="4"/>
      <c r="AB2183" s="4"/>
      <c r="AC2183" s="4"/>
      <c r="AD2183" s="4"/>
      <c r="AE2183" s="4"/>
      <c r="AF2183" s="4"/>
      <c r="AG2183" s="4"/>
      <c r="AH2183" s="4"/>
      <c r="AI2183" s="4"/>
      <c r="AJ2183" s="4"/>
      <c r="AK2183" s="4"/>
      <c r="AL2183" s="4"/>
      <c r="AM2183" s="4"/>
      <c r="AN2183" s="4"/>
      <c r="AO2183" s="4"/>
      <c r="AP2183" s="4"/>
      <c r="AQ2183" s="4"/>
      <c r="AR2183" s="4"/>
      <c r="AS2183" s="4"/>
      <c r="AT2183" s="4"/>
      <c r="AU2183" s="4"/>
      <c r="AV2183" s="4"/>
    </row>
    <row r="2184" spans="4:48" x14ac:dyDescent="0.3">
      <c r="D2184" s="5"/>
      <c r="E2184" s="5"/>
      <c r="F2184" s="20"/>
      <c r="G2184" s="20"/>
      <c r="H2184" s="5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4"/>
      <c r="T2184" s="4"/>
      <c r="U2184" s="4"/>
      <c r="V2184" s="4"/>
      <c r="W2184" s="4"/>
      <c r="X2184" s="4"/>
      <c r="Y2184" s="4"/>
      <c r="Z2184" s="4"/>
      <c r="AA2184" s="4"/>
      <c r="AB2184" s="4"/>
      <c r="AC2184" s="4"/>
      <c r="AD2184" s="4"/>
      <c r="AE2184" s="4"/>
      <c r="AF2184" s="4"/>
      <c r="AG2184" s="4"/>
      <c r="AH2184" s="4"/>
      <c r="AI2184" s="4"/>
      <c r="AJ2184" s="4"/>
      <c r="AK2184" s="4"/>
      <c r="AL2184" s="4"/>
      <c r="AM2184" s="4"/>
      <c r="AN2184" s="4"/>
      <c r="AO2184" s="4"/>
      <c r="AP2184" s="4"/>
      <c r="AQ2184" s="4"/>
      <c r="AR2184" s="4"/>
      <c r="AS2184" s="4"/>
      <c r="AT2184" s="4"/>
      <c r="AU2184" s="4"/>
      <c r="AV2184" s="4"/>
    </row>
    <row r="2185" spans="4:48" x14ac:dyDescent="0.3">
      <c r="D2185" s="5"/>
      <c r="E2185" s="5"/>
      <c r="F2185" s="20"/>
      <c r="G2185" s="20"/>
      <c r="H2185" s="5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4"/>
      <c r="T2185" s="4"/>
      <c r="U2185" s="4"/>
      <c r="V2185" s="4"/>
      <c r="W2185" s="4"/>
      <c r="X2185" s="4"/>
      <c r="Y2185" s="4"/>
      <c r="Z2185" s="4"/>
      <c r="AA2185" s="4"/>
      <c r="AB2185" s="4"/>
      <c r="AC2185" s="4"/>
      <c r="AD2185" s="4"/>
      <c r="AE2185" s="4"/>
      <c r="AF2185" s="4"/>
      <c r="AG2185" s="4"/>
      <c r="AH2185" s="4"/>
      <c r="AI2185" s="4"/>
      <c r="AJ2185" s="4"/>
      <c r="AK2185" s="4"/>
      <c r="AL2185" s="4"/>
      <c r="AM2185" s="4"/>
      <c r="AN2185" s="4"/>
      <c r="AO2185" s="4"/>
      <c r="AP2185" s="4"/>
      <c r="AQ2185" s="4"/>
      <c r="AR2185" s="4"/>
      <c r="AS2185" s="4"/>
      <c r="AT2185" s="4"/>
      <c r="AU2185" s="4"/>
      <c r="AV2185" s="4"/>
    </row>
    <row r="2186" spans="4:48" x14ac:dyDescent="0.3">
      <c r="D2186" s="5"/>
      <c r="E2186" s="5"/>
      <c r="F2186" s="20"/>
      <c r="G2186" s="20"/>
      <c r="H2186" s="5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4"/>
      <c r="T2186" s="4"/>
      <c r="U2186" s="4"/>
      <c r="V2186" s="4"/>
      <c r="W2186" s="4"/>
      <c r="X2186" s="4"/>
      <c r="Y2186" s="4"/>
      <c r="Z2186" s="4"/>
      <c r="AA2186" s="4"/>
      <c r="AB2186" s="4"/>
      <c r="AC2186" s="4"/>
      <c r="AD2186" s="4"/>
      <c r="AE2186" s="4"/>
      <c r="AF2186" s="4"/>
      <c r="AG2186" s="4"/>
      <c r="AH2186" s="4"/>
      <c r="AI2186" s="4"/>
      <c r="AJ2186" s="4"/>
      <c r="AK2186" s="4"/>
      <c r="AL2186" s="4"/>
      <c r="AM2186" s="4"/>
      <c r="AN2186" s="4"/>
      <c r="AO2186" s="4"/>
      <c r="AP2186" s="4"/>
      <c r="AQ2186" s="4"/>
      <c r="AR2186" s="4"/>
      <c r="AS2186" s="4"/>
      <c r="AT2186" s="4"/>
      <c r="AU2186" s="4"/>
      <c r="AV2186" s="4"/>
    </row>
    <row r="2187" spans="4:48" x14ac:dyDescent="0.3">
      <c r="D2187" s="5"/>
      <c r="E2187" s="5"/>
      <c r="F2187" s="20"/>
      <c r="G2187" s="20"/>
      <c r="H2187" s="5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4"/>
      <c r="T2187" s="4"/>
      <c r="U2187" s="4"/>
      <c r="V2187" s="4"/>
      <c r="W2187" s="4"/>
      <c r="X2187" s="4"/>
      <c r="Y2187" s="4"/>
      <c r="Z2187" s="4"/>
      <c r="AA2187" s="4"/>
      <c r="AB2187" s="4"/>
      <c r="AC2187" s="4"/>
      <c r="AD2187" s="4"/>
      <c r="AE2187" s="4"/>
      <c r="AF2187" s="4"/>
      <c r="AG2187" s="4"/>
      <c r="AH2187" s="4"/>
      <c r="AI2187" s="4"/>
      <c r="AJ2187" s="4"/>
      <c r="AK2187" s="4"/>
      <c r="AL2187" s="4"/>
      <c r="AM2187" s="4"/>
      <c r="AN2187" s="4"/>
      <c r="AO2187" s="4"/>
      <c r="AP2187" s="4"/>
      <c r="AQ2187" s="4"/>
      <c r="AR2187" s="4"/>
      <c r="AS2187" s="4"/>
      <c r="AT2187" s="4"/>
      <c r="AU2187" s="4"/>
      <c r="AV2187" s="4"/>
    </row>
    <row r="2188" spans="4:48" x14ac:dyDescent="0.3">
      <c r="D2188" s="5"/>
      <c r="E2188" s="5"/>
      <c r="F2188" s="20"/>
      <c r="G2188" s="20"/>
      <c r="H2188" s="5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4"/>
      <c r="T2188" s="4"/>
      <c r="U2188" s="4"/>
      <c r="V2188" s="4"/>
      <c r="W2188" s="4"/>
      <c r="X2188" s="4"/>
      <c r="Y2188" s="4"/>
      <c r="Z2188" s="4"/>
      <c r="AA2188" s="4"/>
      <c r="AB2188" s="4"/>
      <c r="AC2188" s="4"/>
      <c r="AD2188" s="4"/>
      <c r="AE2188" s="4"/>
      <c r="AF2188" s="4"/>
      <c r="AG2188" s="4"/>
      <c r="AH2188" s="4"/>
      <c r="AI2188" s="4"/>
      <c r="AJ2188" s="4"/>
      <c r="AK2188" s="4"/>
      <c r="AL2188" s="4"/>
      <c r="AM2188" s="4"/>
      <c r="AN2188" s="4"/>
      <c r="AO2188" s="4"/>
      <c r="AP2188" s="4"/>
      <c r="AQ2188" s="4"/>
      <c r="AR2188" s="4"/>
      <c r="AS2188" s="4"/>
      <c r="AT2188" s="4"/>
      <c r="AU2188" s="4"/>
      <c r="AV2188" s="4"/>
    </row>
    <row r="2189" spans="4:48" x14ac:dyDescent="0.3">
      <c r="D2189" s="5"/>
      <c r="E2189" s="5"/>
      <c r="F2189" s="20"/>
      <c r="G2189" s="20"/>
      <c r="H2189" s="5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4"/>
      <c r="T2189" s="4"/>
      <c r="U2189" s="4"/>
      <c r="V2189" s="4"/>
      <c r="W2189" s="4"/>
      <c r="X2189" s="4"/>
      <c r="Y2189" s="4"/>
      <c r="Z2189" s="4"/>
      <c r="AA2189" s="4"/>
      <c r="AB2189" s="4"/>
      <c r="AC2189" s="4"/>
      <c r="AD2189" s="4"/>
      <c r="AE2189" s="4"/>
      <c r="AF2189" s="4"/>
      <c r="AG2189" s="4"/>
      <c r="AH2189" s="4"/>
      <c r="AI2189" s="4"/>
      <c r="AJ2189" s="4"/>
      <c r="AK2189" s="4"/>
      <c r="AL2189" s="4"/>
      <c r="AM2189" s="4"/>
      <c r="AN2189" s="4"/>
      <c r="AO2189" s="4"/>
      <c r="AP2189" s="4"/>
      <c r="AQ2189" s="4"/>
      <c r="AR2189" s="4"/>
      <c r="AS2189" s="4"/>
      <c r="AT2189" s="4"/>
      <c r="AU2189" s="4"/>
      <c r="AV2189" s="4"/>
    </row>
    <row r="2190" spans="4:48" x14ac:dyDescent="0.3">
      <c r="D2190" s="5"/>
      <c r="E2190" s="5"/>
      <c r="F2190" s="20"/>
      <c r="G2190" s="20"/>
      <c r="H2190" s="5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4"/>
      <c r="T2190" s="4"/>
      <c r="U2190" s="4"/>
      <c r="V2190" s="4"/>
      <c r="W2190" s="4"/>
      <c r="X2190" s="4"/>
      <c r="Y2190" s="4"/>
      <c r="Z2190" s="4"/>
      <c r="AA2190" s="4"/>
      <c r="AB2190" s="4"/>
      <c r="AC2190" s="4"/>
      <c r="AD2190" s="4"/>
      <c r="AE2190" s="4"/>
      <c r="AF2190" s="4"/>
      <c r="AG2190" s="4"/>
      <c r="AH2190" s="4"/>
      <c r="AI2190" s="4"/>
      <c r="AJ2190" s="4"/>
      <c r="AK2190" s="4"/>
      <c r="AL2190" s="4"/>
      <c r="AM2190" s="4"/>
      <c r="AN2190" s="4"/>
      <c r="AO2190" s="4"/>
      <c r="AP2190" s="4"/>
      <c r="AQ2190" s="4"/>
      <c r="AR2190" s="4"/>
      <c r="AS2190" s="4"/>
      <c r="AT2190" s="4"/>
      <c r="AU2190" s="4"/>
      <c r="AV2190" s="4"/>
    </row>
    <row r="2191" spans="4:48" x14ac:dyDescent="0.3">
      <c r="D2191" s="5"/>
      <c r="E2191" s="5"/>
      <c r="F2191" s="20"/>
      <c r="G2191" s="20"/>
      <c r="H2191" s="5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4"/>
      <c r="T2191" s="4"/>
      <c r="U2191" s="4"/>
      <c r="V2191" s="4"/>
      <c r="W2191" s="4"/>
      <c r="X2191" s="4"/>
      <c r="Y2191" s="4"/>
      <c r="Z2191" s="4"/>
      <c r="AA2191" s="4"/>
      <c r="AB2191" s="4"/>
      <c r="AC2191" s="4"/>
      <c r="AD2191" s="4"/>
      <c r="AE2191" s="4"/>
      <c r="AF2191" s="4"/>
      <c r="AG2191" s="4"/>
      <c r="AH2191" s="4"/>
      <c r="AI2191" s="4"/>
      <c r="AJ2191" s="4"/>
      <c r="AK2191" s="4"/>
      <c r="AL2191" s="4"/>
      <c r="AM2191" s="4"/>
      <c r="AN2191" s="4"/>
      <c r="AO2191" s="4"/>
      <c r="AP2191" s="4"/>
      <c r="AQ2191" s="4"/>
      <c r="AR2191" s="4"/>
      <c r="AS2191" s="4"/>
      <c r="AT2191" s="4"/>
      <c r="AU2191" s="4"/>
      <c r="AV2191" s="4"/>
    </row>
    <row r="2192" spans="4:48" x14ac:dyDescent="0.3">
      <c r="D2192" s="5"/>
      <c r="E2192" s="5"/>
      <c r="F2192" s="20"/>
      <c r="G2192" s="20"/>
      <c r="H2192" s="5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4"/>
      <c r="T2192" s="4"/>
      <c r="U2192" s="4"/>
      <c r="V2192" s="4"/>
      <c r="W2192" s="4"/>
      <c r="X2192" s="4"/>
      <c r="Y2192" s="4"/>
      <c r="Z2192" s="4"/>
      <c r="AA2192" s="4"/>
      <c r="AB2192" s="4"/>
      <c r="AC2192" s="4"/>
      <c r="AD2192" s="4"/>
      <c r="AE2192" s="4"/>
      <c r="AF2192" s="4"/>
      <c r="AG2192" s="4"/>
      <c r="AH2192" s="4"/>
      <c r="AI2192" s="4"/>
      <c r="AJ2192" s="4"/>
      <c r="AK2192" s="4"/>
      <c r="AL2192" s="4"/>
      <c r="AM2192" s="4"/>
      <c r="AN2192" s="4"/>
      <c r="AO2192" s="4"/>
      <c r="AP2192" s="4"/>
      <c r="AQ2192" s="4"/>
      <c r="AR2192" s="4"/>
      <c r="AS2192" s="4"/>
      <c r="AT2192" s="4"/>
      <c r="AU2192" s="4"/>
      <c r="AV2192" s="4"/>
    </row>
    <row r="2193" spans="4:48" x14ac:dyDescent="0.3">
      <c r="D2193" s="5"/>
      <c r="E2193" s="5"/>
      <c r="F2193" s="20"/>
      <c r="G2193" s="20"/>
      <c r="H2193" s="5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4"/>
      <c r="T2193" s="4"/>
      <c r="U2193" s="4"/>
      <c r="V2193" s="4"/>
      <c r="W2193" s="4"/>
      <c r="X2193" s="4"/>
      <c r="Y2193" s="4"/>
      <c r="Z2193" s="4"/>
      <c r="AA2193" s="4"/>
      <c r="AB2193" s="4"/>
      <c r="AC2193" s="4"/>
      <c r="AD2193" s="4"/>
      <c r="AE2193" s="4"/>
      <c r="AF2193" s="4"/>
      <c r="AG2193" s="4"/>
      <c r="AH2193" s="4"/>
      <c r="AI2193" s="4"/>
      <c r="AJ2193" s="4"/>
      <c r="AK2193" s="4"/>
      <c r="AL2193" s="4"/>
      <c r="AM2193" s="4"/>
      <c r="AN2193" s="4"/>
      <c r="AO2193" s="4"/>
      <c r="AP2193" s="4"/>
      <c r="AQ2193" s="4"/>
      <c r="AR2193" s="4"/>
      <c r="AS2193" s="4"/>
      <c r="AT2193" s="4"/>
      <c r="AU2193" s="4"/>
      <c r="AV2193" s="4"/>
    </row>
    <row r="2194" spans="4:48" x14ac:dyDescent="0.3">
      <c r="D2194" s="5"/>
      <c r="E2194" s="5"/>
      <c r="F2194" s="20"/>
      <c r="G2194" s="20"/>
      <c r="H2194" s="5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4"/>
      <c r="T2194" s="4"/>
      <c r="U2194" s="4"/>
      <c r="V2194" s="4"/>
      <c r="W2194" s="4"/>
      <c r="X2194" s="4"/>
      <c r="Y2194" s="4"/>
      <c r="Z2194" s="4"/>
      <c r="AA2194" s="4"/>
      <c r="AB2194" s="4"/>
      <c r="AC2194" s="4"/>
      <c r="AD2194" s="4"/>
      <c r="AE2194" s="4"/>
      <c r="AF2194" s="4"/>
      <c r="AG2194" s="4"/>
      <c r="AH2194" s="4"/>
      <c r="AI2194" s="4"/>
      <c r="AJ2194" s="4"/>
      <c r="AK2194" s="4"/>
      <c r="AL2194" s="4"/>
      <c r="AM2194" s="4"/>
      <c r="AN2194" s="4"/>
      <c r="AO2194" s="4"/>
      <c r="AP2194" s="4"/>
      <c r="AQ2194" s="4"/>
      <c r="AR2194" s="4"/>
      <c r="AS2194" s="4"/>
      <c r="AT2194" s="4"/>
      <c r="AU2194" s="4"/>
      <c r="AV2194" s="4"/>
    </row>
    <row r="2195" spans="4:48" x14ac:dyDescent="0.3">
      <c r="D2195" s="5"/>
      <c r="E2195" s="5"/>
      <c r="F2195" s="20"/>
      <c r="G2195" s="20"/>
      <c r="H2195" s="5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4"/>
      <c r="T2195" s="4"/>
      <c r="U2195" s="4"/>
      <c r="V2195" s="4"/>
      <c r="W2195" s="4"/>
      <c r="X2195" s="4"/>
      <c r="Y2195" s="4"/>
      <c r="Z2195" s="4"/>
      <c r="AA2195" s="4"/>
      <c r="AB2195" s="4"/>
      <c r="AC2195" s="4"/>
      <c r="AD2195" s="4"/>
      <c r="AE2195" s="4"/>
      <c r="AF2195" s="4"/>
      <c r="AG2195" s="4"/>
      <c r="AH2195" s="4"/>
      <c r="AI2195" s="4"/>
      <c r="AJ2195" s="4"/>
      <c r="AK2195" s="4"/>
      <c r="AL2195" s="4"/>
      <c r="AM2195" s="4"/>
      <c r="AN2195" s="4"/>
      <c r="AO2195" s="4"/>
      <c r="AP2195" s="4"/>
      <c r="AQ2195" s="4"/>
      <c r="AR2195" s="4"/>
      <c r="AS2195" s="4"/>
      <c r="AT2195" s="4"/>
      <c r="AU2195" s="4"/>
      <c r="AV2195" s="4"/>
    </row>
    <row r="2196" spans="4:48" x14ac:dyDescent="0.3">
      <c r="D2196" s="5"/>
      <c r="E2196" s="5"/>
      <c r="F2196" s="20"/>
      <c r="G2196" s="20"/>
      <c r="H2196" s="5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4"/>
      <c r="T2196" s="4"/>
      <c r="U2196" s="4"/>
      <c r="V2196" s="4"/>
      <c r="W2196" s="4"/>
      <c r="X2196" s="4"/>
      <c r="Y2196" s="4"/>
      <c r="Z2196" s="4"/>
      <c r="AA2196" s="4"/>
      <c r="AB2196" s="4"/>
      <c r="AC2196" s="4"/>
      <c r="AD2196" s="4"/>
      <c r="AE2196" s="4"/>
      <c r="AF2196" s="4"/>
      <c r="AG2196" s="4"/>
      <c r="AH2196" s="4"/>
      <c r="AI2196" s="4"/>
      <c r="AJ2196" s="4"/>
      <c r="AK2196" s="4"/>
      <c r="AL2196" s="4"/>
      <c r="AM2196" s="4"/>
      <c r="AN2196" s="4"/>
      <c r="AO2196" s="4"/>
      <c r="AP2196" s="4"/>
      <c r="AQ2196" s="4"/>
      <c r="AR2196" s="4"/>
      <c r="AS2196" s="4"/>
      <c r="AT2196" s="4"/>
      <c r="AU2196" s="4"/>
      <c r="AV2196" s="4"/>
    </row>
    <row r="2197" spans="4:48" x14ac:dyDescent="0.3">
      <c r="D2197" s="5"/>
      <c r="E2197" s="5"/>
      <c r="F2197" s="20"/>
      <c r="G2197" s="20"/>
      <c r="H2197" s="5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4"/>
      <c r="T2197" s="4"/>
      <c r="U2197" s="4"/>
      <c r="V2197" s="4"/>
      <c r="W2197" s="4"/>
      <c r="X2197" s="4"/>
      <c r="Y2197" s="4"/>
      <c r="Z2197" s="4"/>
      <c r="AA2197" s="4"/>
      <c r="AB2197" s="4"/>
      <c r="AC2197" s="4"/>
      <c r="AD2197" s="4"/>
      <c r="AE2197" s="4"/>
      <c r="AF2197" s="4"/>
      <c r="AG2197" s="4"/>
      <c r="AH2197" s="4"/>
      <c r="AI2197" s="4"/>
      <c r="AJ2197" s="4"/>
      <c r="AK2197" s="4"/>
      <c r="AL2197" s="4"/>
      <c r="AM2197" s="4"/>
      <c r="AN2197" s="4"/>
      <c r="AO2197" s="4"/>
      <c r="AP2197" s="4"/>
      <c r="AQ2197" s="4"/>
      <c r="AR2197" s="4"/>
      <c r="AS2197" s="4"/>
      <c r="AT2197" s="4"/>
      <c r="AU2197" s="4"/>
      <c r="AV2197" s="4"/>
    </row>
    <row r="2198" spans="4:48" x14ac:dyDescent="0.3">
      <c r="D2198" s="5"/>
      <c r="E2198" s="5"/>
      <c r="F2198" s="20"/>
      <c r="G2198" s="20"/>
      <c r="H2198" s="5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4"/>
      <c r="T2198" s="4"/>
      <c r="U2198" s="4"/>
      <c r="V2198" s="4"/>
      <c r="W2198" s="4"/>
      <c r="X2198" s="4"/>
      <c r="Y2198" s="4"/>
      <c r="Z2198" s="4"/>
      <c r="AA2198" s="4"/>
      <c r="AB2198" s="4"/>
      <c r="AC2198" s="4"/>
      <c r="AD2198" s="4"/>
      <c r="AE2198" s="4"/>
      <c r="AF2198" s="4"/>
      <c r="AG2198" s="4"/>
      <c r="AH2198" s="4"/>
      <c r="AI2198" s="4"/>
      <c r="AJ2198" s="4"/>
      <c r="AK2198" s="4"/>
      <c r="AL2198" s="4"/>
      <c r="AM2198" s="4"/>
      <c r="AN2198" s="4"/>
      <c r="AO2198" s="4"/>
      <c r="AP2198" s="4"/>
      <c r="AQ2198" s="4"/>
      <c r="AR2198" s="4"/>
      <c r="AS2198" s="4"/>
      <c r="AT2198" s="4"/>
      <c r="AU2198" s="4"/>
      <c r="AV2198" s="4"/>
    </row>
    <row r="2199" spans="4:48" x14ac:dyDescent="0.3">
      <c r="D2199" s="5"/>
      <c r="E2199" s="5"/>
      <c r="F2199" s="20"/>
      <c r="G2199" s="20"/>
      <c r="H2199" s="5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4"/>
      <c r="T2199" s="4"/>
      <c r="U2199" s="4"/>
      <c r="V2199" s="4"/>
      <c r="W2199" s="4"/>
      <c r="X2199" s="4"/>
      <c r="Y2199" s="4"/>
      <c r="Z2199" s="4"/>
      <c r="AA2199" s="4"/>
      <c r="AB2199" s="4"/>
      <c r="AC2199" s="4"/>
      <c r="AD2199" s="4"/>
      <c r="AE2199" s="4"/>
      <c r="AF2199" s="4"/>
      <c r="AG2199" s="4"/>
      <c r="AH2199" s="4"/>
      <c r="AI2199" s="4"/>
      <c r="AJ2199" s="4"/>
      <c r="AK2199" s="4"/>
      <c r="AL2199" s="4"/>
      <c r="AM2199" s="4"/>
      <c r="AN2199" s="4"/>
      <c r="AO2199" s="4"/>
      <c r="AP2199" s="4"/>
      <c r="AQ2199" s="4"/>
      <c r="AR2199" s="4"/>
      <c r="AS2199" s="4"/>
      <c r="AT2199" s="4"/>
      <c r="AU2199" s="4"/>
      <c r="AV2199" s="4"/>
    </row>
    <row r="2200" spans="4:48" x14ac:dyDescent="0.3">
      <c r="D2200" s="5"/>
      <c r="E2200" s="5"/>
      <c r="F2200" s="20"/>
      <c r="G2200" s="20"/>
      <c r="H2200" s="5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4"/>
      <c r="T2200" s="4"/>
      <c r="U2200" s="4"/>
      <c r="V2200" s="4"/>
      <c r="W2200" s="4"/>
      <c r="X2200" s="4"/>
      <c r="Y2200" s="4"/>
      <c r="Z2200" s="4"/>
      <c r="AA2200" s="4"/>
      <c r="AB2200" s="4"/>
      <c r="AC2200" s="4"/>
      <c r="AD2200" s="4"/>
      <c r="AE2200" s="4"/>
      <c r="AF2200" s="4"/>
      <c r="AG2200" s="4"/>
      <c r="AH2200" s="4"/>
      <c r="AI2200" s="4"/>
      <c r="AJ2200" s="4"/>
      <c r="AK2200" s="4"/>
      <c r="AL2200" s="4"/>
      <c r="AM2200" s="4"/>
      <c r="AN2200" s="4"/>
      <c r="AO2200" s="4"/>
      <c r="AP2200" s="4"/>
      <c r="AQ2200" s="4"/>
      <c r="AR2200" s="4"/>
      <c r="AS2200" s="4"/>
      <c r="AT2200" s="4"/>
      <c r="AU2200" s="4"/>
      <c r="AV2200" s="4"/>
    </row>
    <row r="2201" spans="4:48" x14ac:dyDescent="0.3">
      <c r="D2201" s="5"/>
      <c r="E2201" s="5"/>
      <c r="F2201" s="20"/>
      <c r="G2201" s="20"/>
      <c r="H2201" s="5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4"/>
      <c r="T2201" s="4"/>
      <c r="U2201" s="4"/>
      <c r="V2201" s="4"/>
      <c r="W2201" s="4"/>
      <c r="X2201" s="4"/>
      <c r="Y2201" s="4"/>
      <c r="Z2201" s="4"/>
      <c r="AA2201" s="4"/>
      <c r="AB2201" s="4"/>
      <c r="AC2201" s="4"/>
      <c r="AD2201" s="4"/>
      <c r="AE2201" s="4"/>
      <c r="AF2201" s="4"/>
      <c r="AG2201" s="4"/>
      <c r="AH2201" s="4"/>
      <c r="AI2201" s="4"/>
      <c r="AJ2201" s="4"/>
      <c r="AK2201" s="4"/>
      <c r="AL2201" s="4"/>
      <c r="AM2201" s="4"/>
      <c r="AN2201" s="4"/>
      <c r="AO2201" s="4"/>
      <c r="AP2201" s="4"/>
      <c r="AQ2201" s="4"/>
      <c r="AR2201" s="4"/>
      <c r="AS2201" s="4"/>
      <c r="AT2201" s="4"/>
      <c r="AU2201" s="4"/>
      <c r="AV2201" s="4"/>
    </row>
    <row r="2202" spans="4:48" x14ac:dyDescent="0.3">
      <c r="D2202" s="5"/>
      <c r="E2202" s="5"/>
      <c r="F2202" s="20"/>
      <c r="G2202" s="20"/>
      <c r="H2202" s="5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4"/>
      <c r="T2202" s="4"/>
      <c r="U2202" s="4"/>
      <c r="V2202" s="4"/>
      <c r="W2202" s="4"/>
      <c r="X2202" s="4"/>
      <c r="Y2202" s="4"/>
      <c r="Z2202" s="4"/>
      <c r="AA2202" s="4"/>
      <c r="AB2202" s="4"/>
      <c r="AC2202" s="4"/>
      <c r="AD2202" s="4"/>
      <c r="AE2202" s="4"/>
      <c r="AF2202" s="4"/>
      <c r="AG2202" s="4"/>
      <c r="AH2202" s="4"/>
      <c r="AI2202" s="4"/>
      <c r="AJ2202" s="4"/>
      <c r="AK2202" s="4"/>
      <c r="AL2202" s="4"/>
      <c r="AM2202" s="4"/>
      <c r="AN2202" s="4"/>
      <c r="AO2202" s="4"/>
      <c r="AP2202" s="4"/>
      <c r="AQ2202" s="4"/>
      <c r="AR2202" s="4"/>
      <c r="AS2202" s="4"/>
      <c r="AT2202" s="4"/>
      <c r="AU2202" s="4"/>
      <c r="AV2202" s="4"/>
    </row>
    <row r="2203" spans="4:48" x14ac:dyDescent="0.3">
      <c r="D2203" s="5"/>
      <c r="E2203" s="5"/>
      <c r="F2203" s="20"/>
      <c r="G2203" s="20"/>
      <c r="H2203" s="5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4"/>
      <c r="T2203" s="4"/>
      <c r="U2203" s="4"/>
      <c r="V2203" s="4"/>
      <c r="W2203" s="4"/>
      <c r="X2203" s="4"/>
      <c r="Y2203" s="4"/>
      <c r="Z2203" s="4"/>
      <c r="AA2203" s="4"/>
      <c r="AB2203" s="4"/>
      <c r="AC2203" s="4"/>
      <c r="AD2203" s="4"/>
      <c r="AE2203" s="4"/>
      <c r="AF2203" s="4"/>
      <c r="AG2203" s="4"/>
      <c r="AH2203" s="4"/>
      <c r="AI2203" s="4"/>
      <c r="AJ2203" s="4"/>
      <c r="AK2203" s="4"/>
      <c r="AL2203" s="4"/>
      <c r="AM2203" s="4"/>
      <c r="AN2203" s="4"/>
      <c r="AO2203" s="4"/>
      <c r="AP2203" s="4"/>
      <c r="AQ2203" s="4"/>
      <c r="AR2203" s="4"/>
      <c r="AS2203" s="4"/>
      <c r="AT2203" s="4"/>
      <c r="AU2203" s="4"/>
      <c r="AV2203" s="4"/>
    </row>
    <row r="2204" spans="4:48" x14ac:dyDescent="0.3">
      <c r="D2204" s="5"/>
      <c r="E2204" s="5"/>
      <c r="F2204" s="20"/>
      <c r="G2204" s="20"/>
      <c r="H2204" s="5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4"/>
      <c r="T2204" s="4"/>
      <c r="U2204" s="4"/>
      <c r="V2204" s="4"/>
      <c r="W2204" s="4"/>
      <c r="X2204" s="4"/>
      <c r="Y2204" s="4"/>
      <c r="Z2204" s="4"/>
      <c r="AA2204" s="4"/>
      <c r="AB2204" s="4"/>
      <c r="AC2204" s="4"/>
      <c r="AD2204" s="4"/>
      <c r="AE2204" s="4"/>
      <c r="AF2204" s="4"/>
      <c r="AG2204" s="4"/>
      <c r="AH2204" s="4"/>
      <c r="AI2204" s="4"/>
      <c r="AJ2204" s="4"/>
      <c r="AK2204" s="4"/>
      <c r="AL2204" s="4"/>
      <c r="AM2204" s="4"/>
      <c r="AN2204" s="4"/>
      <c r="AO2204" s="4"/>
      <c r="AP2204" s="4"/>
      <c r="AQ2204" s="4"/>
      <c r="AR2204" s="4"/>
      <c r="AS2204" s="4"/>
      <c r="AT2204" s="4"/>
      <c r="AU2204" s="4"/>
      <c r="AV2204" s="4"/>
    </row>
    <row r="2205" spans="4:48" x14ac:dyDescent="0.3">
      <c r="D2205" s="5"/>
      <c r="E2205" s="5"/>
      <c r="F2205" s="20"/>
      <c r="G2205" s="20"/>
      <c r="H2205" s="5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4"/>
      <c r="T2205" s="4"/>
      <c r="U2205" s="4"/>
      <c r="V2205" s="4"/>
      <c r="W2205" s="4"/>
      <c r="X2205" s="4"/>
      <c r="Y2205" s="4"/>
      <c r="Z2205" s="4"/>
      <c r="AA2205" s="4"/>
      <c r="AB2205" s="4"/>
      <c r="AC2205" s="4"/>
      <c r="AD2205" s="4"/>
      <c r="AE2205" s="4"/>
      <c r="AF2205" s="4"/>
      <c r="AG2205" s="4"/>
      <c r="AH2205" s="4"/>
      <c r="AI2205" s="4"/>
      <c r="AJ2205" s="4"/>
      <c r="AK2205" s="4"/>
      <c r="AL2205" s="4"/>
      <c r="AM2205" s="4"/>
      <c r="AN2205" s="4"/>
      <c r="AO2205" s="4"/>
      <c r="AP2205" s="4"/>
      <c r="AQ2205" s="4"/>
      <c r="AR2205" s="4"/>
      <c r="AS2205" s="4"/>
      <c r="AT2205" s="4"/>
      <c r="AU2205" s="4"/>
      <c r="AV2205" s="4"/>
    </row>
    <row r="2206" spans="4:48" x14ac:dyDescent="0.3">
      <c r="D2206" s="5"/>
      <c r="E2206" s="5"/>
      <c r="F2206" s="20"/>
      <c r="G2206" s="20"/>
      <c r="H2206" s="5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4"/>
      <c r="T2206" s="4"/>
      <c r="U2206" s="4"/>
      <c r="V2206" s="4"/>
      <c r="W2206" s="4"/>
      <c r="X2206" s="4"/>
      <c r="Y2206" s="4"/>
      <c r="Z2206" s="4"/>
      <c r="AA2206" s="4"/>
      <c r="AB2206" s="4"/>
      <c r="AC2206" s="4"/>
      <c r="AD2206" s="4"/>
      <c r="AE2206" s="4"/>
      <c r="AF2206" s="4"/>
      <c r="AG2206" s="4"/>
      <c r="AH2206" s="4"/>
      <c r="AI2206" s="4"/>
      <c r="AJ2206" s="4"/>
      <c r="AK2206" s="4"/>
      <c r="AL2206" s="4"/>
      <c r="AM2206" s="4"/>
      <c r="AN2206" s="4"/>
      <c r="AO2206" s="4"/>
      <c r="AP2206" s="4"/>
      <c r="AQ2206" s="4"/>
      <c r="AR2206" s="4"/>
      <c r="AS2206" s="4"/>
      <c r="AT2206" s="4"/>
      <c r="AU2206" s="4"/>
      <c r="AV2206" s="4"/>
    </row>
    <row r="2207" spans="4:48" x14ac:dyDescent="0.3">
      <c r="D2207" s="5"/>
      <c r="E2207" s="5"/>
      <c r="F2207" s="20"/>
      <c r="G2207" s="20"/>
      <c r="H2207" s="5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4"/>
      <c r="T2207" s="4"/>
      <c r="U2207" s="4"/>
      <c r="V2207" s="4"/>
      <c r="W2207" s="4"/>
      <c r="X2207" s="4"/>
      <c r="Y2207" s="4"/>
      <c r="Z2207" s="4"/>
      <c r="AA2207" s="4"/>
      <c r="AB2207" s="4"/>
      <c r="AC2207" s="4"/>
      <c r="AD2207" s="4"/>
      <c r="AE2207" s="4"/>
      <c r="AF2207" s="4"/>
      <c r="AG2207" s="4"/>
      <c r="AH2207" s="4"/>
      <c r="AI2207" s="4"/>
      <c r="AJ2207" s="4"/>
      <c r="AK2207" s="4"/>
      <c r="AL2207" s="4"/>
      <c r="AM2207" s="4"/>
      <c r="AN2207" s="4"/>
      <c r="AO2207" s="4"/>
      <c r="AP2207" s="4"/>
      <c r="AQ2207" s="4"/>
      <c r="AR2207" s="4"/>
      <c r="AS2207" s="4"/>
      <c r="AT2207" s="4"/>
      <c r="AU2207" s="4"/>
      <c r="AV2207" s="4"/>
    </row>
    <row r="2208" spans="4:48" x14ac:dyDescent="0.3">
      <c r="D2208" s="5"/>
      <c r="E2208" s="5"/>
      <c r="F2208" s="20"/>
      <c r="G2208" s="20"/>
      <c r="H2208" s="5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4"/>
      <c r="T2208" s="4"/>
      <c r="U2208" s="4"/>
      <c r="V2208" s="4"/>
      <c r="W2208" s="4"/>
      <c r="X2208" s="4"/>
      <c r="Y2208" s="4"/>
      <c r="Z2208" s="4"/>
      <c r="AA2208" s="4"/>
      <c r="AB2208" s="4"/>
      <c r="AC2208" s="4"/>
      <c r="AD2208" s="4"/>
      <c r="AE2208" s="4"/>
      <c r="AF2208" s="4"/>
      <c r="AG2208" s="4"/>
      <c r="AH2208" s="4"/>
      <c r="AI2208" s="4"/>
      <c r="AJ2208" s="4"/>
      <c r="AK2208" s="4"/>
      <c r="AL2208" s="4"/>
      <c r="AM2208" s="4"/>
      <c r="AN2208" s="4"/>
      <c r="AO2208" s="4"/>
      <c r="AP2208" s="4"/>
      <c r="AQ2208" s="4"/>
      <c r="AR2208" s="4"/>
      <c r="AS2208" s="4"/>
      <c r="AT2208" s="4"/>
      <c r="AU2208" s="4"/>
      <c r="AV2208" s="4"/>
    </row>
    <row r="2209" spans="4:48" x14ac:dyDescent="0.3">
      <c r="D2209" s="5"/>
      <c r="E2209" s="5"/>
      <c r="F2209" s="20"/>
      <c r="G2209" s="20"/>
      <c r="H2209" s="5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4"/>
      <c r="T2209" s="4"/>
      <c r="U2209" s="4"/>
      <c r="V2209" s="4"/>
      <c r="W2209" s="4"/>
      <c r="X2209" s="4"/>
      <c r="Y2209" s="4"/>
      <c r="Z2209" s="4"/>
      <c r="AA2209" s="4"/>
      <c r="AB2209" s="4"/>
      <c r="AC2209" s="4"/>
      <c r="AD2209" s="4"/>
      <c r="AE2209" s="4"/>
      <c r="AF2209" s="4"/>
      <c r="AG2209" s="4"/>
      <c r="AH2209" s="4"/>
      <c r="AI2209" s="4"/>
      <c r="AJ2209" s="4"/>
      <c r="AK2209" s="4"/>
      <c r="AL2209" s="4"/>
      <c r="AM2209" s="4"/>
      <c r="AN2209" s="4"/>
      <c r="AO2209" s="4"/>
      <c r="AP2209" s="4"/>
      <c r="AQ2209" s="4"/>
      <c r="AR2209" s="4"/>
      <c r="AS2209" s="4"/>
      <c r="AT2209" s="4"/>
      <c r="AU2209" s="4"/>
      <c r="AV2209" s="4"/>
    </row>
    <row r="2210" spans="4:48" x14ac:dyDescent="0.3">
      <c r="D2210" s="5"/>
      <c r="E2210" s="5"/>
      <c r="F2210" s="20"/>
      <c r="G2210" s="20"/>
      <c r="H2210" s="5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4"/>
      <c r="T2210" s="4"/>
      <c r="U2210" s="4"/>
      <c r="V2210" s="4"/>
      <c r="W2210" s="4"/>
      <c r="X2210" s="4"/>
      <c r="Y2210" s="4"/>
      <c r="Z2210" s="4"/>
      <c r="AA2210" s="4"/>
      <c r="AB2210" s="4"/>
      <c r="AC2210" s="4"/>
      <c r="AD2210" s="4"/>
      <c r="AE2210" s="4"/>
      <c r="AF2210" s="4"/>
      <c r="AG2210" s="4"/>
      <c r="AH2210" s="4"/>
      <c r="AI2210" s="4"/>
      <c r="AJ2210" s="4"/>
      <c r="AK2210" s="4"/>
      <c r="AL2210" s="4"/>
      <c r="AM2210" s="4"/>
      <c r="AN2210" s="4"/>
      <c r="AO2210" s="4"/>
      <c r="AP2210" s="4"/>
      <c r="AQ2210" s="4"/>
      <c r="AR2210" s="4"/>
      <c r="AS2210" s="4"/>
      <c r="AT2210" s="4"/>
      <c r="AU2210" s="4"/>
      <c r="AV2210" s="4"/>
    </row>
    <row r="2211" spans="4:48" x14ac:dyDescent="0.3">
      <c r="D2211" s="5"/>
      <c r="E2211" s="5"/>
      <c r="F2211" s="20"/>
      <c r="G2211" s="20"/>
      <c r="H2211" s="5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4"/>
      <c r="T2211" s="4"/>
      <c r="U2211" s="4"/>
      <c r="V2211" s="4"/>
      <c r="W2211" s="4"/>
      <c r="X2211" s="4"/>
      <c r="Y2211" s="4"/>
      <c r="Z2211" s="4"/>
      <c r="AA2211" s="4"/>
      <c r="AB2211" s="4"/>
      <c r="AC2211" s="4"/>
      <c r="AD2211" s="4"/>
      <c r="AE2211" s="4"/>
      <c r="AF2211" s="4"/>
      <c r="AG2211" s="4"/>
      <c r="AH2211" s="4"/>
      <c r="AI2211" s="4"/>
      <c r="AJ2211" s="4"/>
      <c r="AK2211" s="4"/>
      <c r="AL2211" s="4"/>
      <c r="AM2211" s="4"/>
      <c r="AN2211" s="4"/>
      <c r="AO2211" s="4"/>
      <c r="AP2211" s="4"/>
      <c r="AQ2211" s="4"/>
      <c r="AR2211" s="4"/>
      <c r="AS2211" s="4"/>
      <c r="AT2211" s="4"/>
      <c r="AU2211" s="4"/>
      <c r="AV2211" s="4"/>
    </row>
    <row r="2212" spans="4:48" x14ac:dyDescent="0.3">
      <c r="D2212" s="5"/>
      <c r="E2212" s="5"/>
      <c r="F2212" s="20"/>
      <c r="G2212" s="20"/>
      <c r="H2212" s="5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4"/>
      <c r="T2212" s="4"/>
      <c r="U2212" s="4"/>
      <c r="V2212" s="4"/>
      <c r="W2212" s="4"/>
      <c r="X2212" s="4"/>
      <c r="Y2212" s="4"/>
      <c r="Z2212" s="4"/>
      <c r="AA2212" s="4"/>
      <c r="AB2212" s="4"/>
      <c r="AC2212" s="4"/>
      <c r="AD2212" s="4"/>
      <c r="AE2212" s="4"/>
      <c r="AF2212" s="4"/>
      <c r="AG2212" s="4"/>
      <c r="AH2212" s="4"/>
      <c r="AI2212" s="4"/>
      <c r="AJ2212" s="4"/>
      <c r="AK2212" s="4"/>
      <c r="AL2212" s="4"/>
      <c r="AM2212" s="4"/>
      <c r="AN2212" s="4"/>
      <c r="AO2212" s="4"/>
      <c r="AP2212" s="4"/>
      <c r="AQ2212" s="4"/>
      <c r="AR2212" s="4"/>
      <c r="AS2212" s="4"/>
      <c r="AT2212" s="4"/>
      <c r="AU2212" s="4"/>
      <c r="AV2212" s="4"/>
    </row>
    <row r="2213" spans="4:48" x14ac:dyDescent="0.3">
      <c r="D2213" s="5"/>
      <c r="E2213" s="5"/>
      <c r="F2213" s="20"/>
      <c r="G2213" s="20"/>
      <c r="H2213" s="5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4"/>
      <c r="T2213" s="4"/>
      <c r="U2213" s="4"/>
      <c r="V2213" s="4"/>
      <c r="W2213" s="4"/>
      <c r="X2213" s="4"/>
      <c r="Y2213" s="4"/>
      <c r="Z2213" s="4"/>
      <c r="AA2213" s="4"/>
      <c r="AB2213" s="4"/>
      <c r="AC2213" s="4"/>
      <c r="AD2213" s="4"/>
      <c r="AE2213" s="4"/>
      <c r="AF2213" s="4"/>
      <c r="AG2213" s="4"/>
      <c r="AH2213" s="4"/>
      <c r="AI2213" s="4"/>
      <c r="AJ2213" s="4"/>
      <c r="AK2213" s="4"/>
      <c r="AL2213" s="4"/>
      <c r="AM2213" s="4"/>
      <c r="AN2213" s="4"/>
      <c r="AO2213" s="4"/>
      <c r="AP2213" s="4"/>
      <c r="AQ2213" s="4"/>
      <c r="AR2213" s="4"/>
      <c r="AS2213" s="4"/>
      <c r="AT2213" s="4"/>
      <c r="AU2213" s="4"/>
      <c r="AV2213" s="4"/>
    </row>
    <row r="2214" spans="4:48" x14ac:dyDescent="0.3">
      <c r="D2214" s="5"/>
      <c r="E2214" s="5"/>
      <c r="F2214" s="20"/>
      <c r="G2214" s="20"/>
      <c r="H2214" s="5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4"/>
      <c r="T2214" s="4"/>
      <c r="U2214" s="4"/>
      <c r="V2214" s="4"/>
      <c r="W2214" s="4"/>
      <c r="X2214" s="4"/>
      <c r="Y2214" s="4"/>
      <c r="Z2214" s="4"/>
      <c r="AA2214" s="4"/>
      <c r="AB2214" s="4"/>
      <c r="AC2214" s="4"/>
      <c r="AD2214" s="4"/>
      <c r="AE2214" s="4"/>
      <c r="AF2214" s="4"/>
      <c r="AG2214" s="4"/>
      <c r="AH2214" s="4"/>
      <c r="AI2214" s="4"/>
      <c r="AJ2214" s="4"/>
      <c r="AK2214" s="4"/>
      <c r="AL2214" s="4"/>
      <c r="AM2214" s="4"/>
      <c r="AN2214" s="4"/>
      <c r="AO2214" s="4"/>
      <c r="AP2214" s="4"/>
      <c r="AQ2214" s="4"/>
      <c r="AR2214" s="4"/>
      <c r="AS2214" s="4"/>
      <c r="AT2214" s="4"/>
      <c r="AU2214" s="4"/>
      <c r="AV2214" s="4"/>
    </row>
    <row r="2215" spans="4:48" x14ac:dyDescent="0.3">
      <c r="D2215" s="5"/>
      <c r="E2215" s="5"/>
      <c r="F2215" s="20"/>
      <c r="G2215" s="20"/>
      <c r="H2215" s="5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4"/>
      <c r="T2215" s="4"/>
      <c r="U2215" s="4"/>
      <c r="V2215" s="4"/>
      <c r="W2215" s="4"/>
      <c r="X2215" s="4"/>
      <c r="Y2215" s="4"/>
      <c r="Z2215" s="4"/>
      <c r="AA2215" s="4"/>
      <c r="AB2215" s="4"/>
      <c r="AC2215" s="4"/>
      <c r="AD2215" s="4"/>
      <c r="AE2215" s="4"/>
      <c r="AF2215" s="4"/>
      <c r="AG2215" s="4"/>
      <c r="AH2215" s="4"/>
      <c r="AI2215" s="4"/>
      <c r="AJ2215" s="4"/>
      <c r="AK2215" s="4"/>
      <c r="AL2215" s="4"/>
      <c r="AM2215" s="4"/>
      <c r="AN2215" s="4"/>
      <c r="AO2215" s="4"/>
      <c r="AP2215" s="4"/>
      <c r="AQ2215" s="4"/>
      <c r="AR2215" s="4"/>
      <c r="AS2215" s="4"/>
      <c r="AT2215" s="4"/>
      <c r="AU2215" s="4"/>
      <c r="AV2215" s="4"/>
    </row>
    <row r="2216" spans="4:48" x14ac:dyDescent="0.3">
      <c r="D2216" s="5"/>
      <c r="E2216" s="5"/>
      <c r="F2216" s="20"/>
      <c r="G2216" s="20"/>
      <c r="H2216" s="5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4"/>
      <c r="T2216" s="4"/>
      <c r="U2216" s="4"/>
      <c r="V2216" s="4"/>
      <c r="W2216" s="4"/>
      <c r="X2216" s="4"/>
      <c r="Y2216" s="4"/>
      <c r="Z2216" s="4"/>
      <c r="AA2216" s="4"/>
      <c r="AB2216" s="4"/>
      <c r="AC2216" s="4"/>
      <c r="AD2216" s="4"/>
      <c r="AE2216" s="4"/>
      <c r="AF2216" s="4"/>
      <c r="AG2216" s="4"/>
      <c r="AH2216" s="4"/>
      <c r="AI2216" s="4"/>
      <c r="AJ2216" s="4"/>
      <c r="AK2216" s="4"/>
      <c r="AL2216" s="4"/>
      <c r="AM2216" s="4"/>
      <c r="AN2216" s="4"/>
      <c r="AO2216" s="4"/>
      <c r="AP2216" s="4"/>
      <c r="AQ2216" s="4"/>
      <c r="AR2216" s="4"/>
      <c r="AS2216" s="4"/>
      <c r="AT2216" s="4"/>
      <c r="AU2216" s="4"/>
      <c r="AV2216" s="4"/>
    </row>
    <row r="2217" spans="4:48" x14ac:dyDescent="0.3">
      <c r="D2217" s="5"/>
      <c r="E2217" s="5"/>
      <c r="F2217" s="20"/>
      <c r="G2217" s="20"/>
      <c r="H2217" s="5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4"/>
      <c r="T2217" s="4"/>
      <c r="U2217" s="4"/>
      <c r="V2217" s="4"/>
      <c r="W2217" s="4"/>
      <c r="X2217" s="4"/>
      <c r="Y2217" s="4"/>
      <c r="Z2217" s="4"/>
      <c r="AA2217" s="4"/>
      <c r="AB2217" s="4"/>
      <c r="AC2217" s="4"/>
      <c r="AD2217" s="4"/>
      <c r="AE2217" s="4"/>
      <c r="AF2217" s="4"/>
      <c r="AG2217" s="4"/>
      <c r="AH2217" s="4"/>
      <c r="AI2217" s="4"/>
      <c r="AJ2217" s="4"/>
      <c r="AK2217" s="4"/>
      <c r="AL2217" s="4"/>
      <c r="AM2217" s="4"/>
      <c r="AN2217" s="4"/>
      <c r="AO2217" s="4"/>
      <c r="AP2217" s="4"/>
      <c r="AQ2217" s="4"/>
      <c r="AR2217" s="4"/>
      <c r="AS2217" s="4"/>
      <c r="AT2217" s="4"/>
      <c r="AU2217" s="4"/>
      <c r="AV2217" s="4"/>
    </row>
    <row r="2218" spans="4:48" x14ac:dyDescent="0.3">
      <c r="D2218" s="5"/>
      <c r="E2218" s="5"/>
      <c r="F2218" s="20"/>
      <c r="G2218" s="20"/>
      <c r="H2218" s="5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4"/>
      <c r="T2218" s="4"/>
      <c r="U2218" s="4"/>
      <c r="V2218" s="4"/>
      <c r="W2218" s="4"/>
      <c r="X2218" s="4"/>
      <c r="Y2218" s="4"/>
      <c r="Z2218" s="4"/>
      <c r="AA2218" s="4"/>
      <c r="AB2218" s="4"/>
      <c r="AC2218" s="4"/>
      <c r="AD2218" s="4"/>
      <c r="AE2218" s="4"/>
      <c r="AF2218" s="4"/>
      <c r="AG2218" s="4"/>
      <c r="AH2218" s="4"/>
      <c r="AI2218" s="4"/>
      <c r="AJ2218" s="4"/>
      <c r="AK2218" s="4"/>
      <c r="AL2218" s="4"/>
      <c r="AM2218" s="4"/>
      <c r="AN2218" s="4"/>
      <c r="AO2218" s="4"/>
      <c r="AP2218" s="4"/>
      <c r="AQ2218" s="4"/>
      <c r="AR2218" s="4"/>
      <c r="AS2218" s="4"/>
      <c r="AT2218" s="4"/>
      <c r="AU2218" s="4"/>
      <c r="AV2218" s="4"/>
    </row>
    <row r="2219" spans="4:48" x14ac:dyDescent="0.3">
      <c r="D2219" s="5"/>
      <c r="E2219" s="5"/>
      <c r="F2219" s="20"/>
      <c r="G2219" s="20"/>
      <c r="H2219" s="5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4"/>
      <c r="T2219" s="4"/>
      <c r="U2219" s="4"/>
      <c r="V2219" s="4"/>
      <c r="W2219" s="4"/>
      <c r="X2219" s="4"/>
      <c r="Y2219" s="4"/>
      <c r="Z2219" s="4"/>
      <c r="AA2219" s="4"/>
      <c r="AB2219" s="4"/>
      <c r="AC2219" s="4"/>
      <c r="AD2219" s="4"/>
      <c r="AE2219" s="4"/>
      <c r="AF2219" s="4"/>
      <c r="AG2219" s="4"/>
      <c r="AH2219" s="4"/>
      <c r="AI2219" s="4"/>
      <c r="AJ2219" s="4"/>
      <c r="AK2219" s="4"/>
      <c r="AL2219" s="4"/>
      <c r="AM2219" s="4"/>
      <c r="AN2219" s="4"/>
      <c r="AO2219" s="4"/>
      <c r="AP2219" s="4"/>
      <c r="AQ2219" s="4"/>
      <c r="AR2219" s="4"/>
      <c r="AS2219" s="4"/>
      <c r="AT2219" s="4"/>
      <c r="AU2219" s="4"/>
      <c r="AV2219" s="4"/>
    </row>
    <row r="2220" spans="4:48" x14ac:dyDescent="0.3">
      <c r="D2220" s="5"/>
      <c r="E2220" s="5"/>
      <c r="F2220" s="20"/>
      <c r="G2220" s="20"/>
      <c r="H2220" s="5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4"/>
      <c r="T2220" s="4"/>
      <c r="U2220" s="4"/>
      <c r="V2220" s="4"/>
      <c r="W2220" s="4"/>
      <c r="X2220" s="4"/>
      <c r="Y2220" s="4"/>
      <c r="Z2220" s="4"/>
      <c r="AA2220" s="4"/>
      <c r="AB2220" s="4"/>
      <c r="AC2220" s="4"/>
      <c r="AD2220" s="4"/>
      <c r="AE2220" s="4"/>
      <c r="AF2220" s="4"/>
      <c r="AG2220" s="4"/>
      <c r="AH2220" s="4"/>
      <c r="AI2220" s="4"/>
      <c r="AJ2220" s="4"/>
      <c r="AK2220" s="4"/>
      <c r="AL2220" s="4"/>
      <c r="AM2220" s="4"/>
      <c r="AN2220" s="4"/>
      <c r="AO2220" s="4"/>
      <c r="AP2220" s="4"/>
      <c r="AQ2220" s="4"/>
      <c r="AR2220" s="4"/>
      <c r="AS2220" s="4"/>
      <c r="AT2220" s="4"/>
      <c r="AU2220" s="4"/>
      <c r="AV2220" s="4"/>
    </row>
    <row r="2221" spans="4:48" x14ac:dyDescent="0.3">
      <c r="D2221" s="5"/>
      <c r="E2221" s="5"/>
      <c r="F2221" s="20"/>
      <c r="G2221" s="20"/>
      <c r="H2221" s="5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4"/>
      <c r="T2221" s="4"/>
      <c r="U2221" s="4"/>
      <c r="V2221" s="4"/>
      <c r="W2221" s="4"/>
      <c r="X2221" s="4"/>
      <c r="Y2221" s="4"/>
      <c r="Z2221" s="4"/>
      <c r="AA2221" s="4"/>
      <c r="AB2221" s="4"/>
      <c r="AC2221" s="4"/>
      <c r="AD2221" s="4"/>
      <c r="AE2221" s="4"/>
      <c r="AF2221" s="4"/>
      <c r="AG2221" s="4"/>
      <c r="AH2221" s="4"/>
      <c r="AI2221" s="4"/>
      <c r="AJ2221" s="4"/>
      <c r="AK2221" s="4"/>
      <c r="AL2221" s="4"/>
      <c r="AM2221" s="4"/>
      <c r="AN2221" s="4"/>
      <c r="AO2221" s="4"/>
      <c r="AP2221" s="4"/>
      <c r="AQ2221" s="4"/>
      <c r="AR2221" s="4"/>
      <c r="AS2221" s="4"/>
      <c r="AT2221" s="4"/>
      <c r="AU2221" s="4"/>
      <c r="AV2221" s="4"/>
    </row>
    <row r="2222" spans="4:48" x14ac:dyDescent="0.3">
      <c r="D2222" s="5"/>
      <c r="E2222" s="5"/>
      <c r="F2222" s="20"/>
      <c r="G2222" s="20"/>
      <c r="H2222" s="5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4"/>
      <c r="T2222" s="4"/>
      <c r="U2222" s="4"/>
      <c r="V2222" s="4"/>
      <c r="W2222" s="4"/>
      <c r="X2222" s="4"/>
      <c r="Y2222" s="4"/>
      <c r="Z2222" s="4"/>
      <c r="AA2222" s="4"/>
      <c r="AB2222" s="4"/>
      <c r="AC2222" s="4"/>
      <c r="AD2222" s="4"/>
      <c r="AE2222" s="4"/>
      <c r="AF2222" s="4"/>
      <c r="AG2222" s="4"/>
      <c r="AH2222" s="4"/>
      <c r="AI2222" s="4"/>
      <c r="AJ2222" s="4"/>
      <c r="AK2222" s="4"/>
      <c r="AL2222" s="4"/>
      <c r="AM2222" s="4"/>
      <c r="AN2222" s="4"/>
      <c r="AO2222" s="4"/>
      <c r="AP2222" s="4"/>
      <c r="AQ2222" s="4"/>
      <c r="AR2222" s="4"/>
      <c r="AS2222" s="4"/>
      <c r="AT2222" s="4"/>
      <c r="AU2222" s="4"/>
      <c r="AV2222" s="4"/>
    </row>
    <row r="2223" spans="4:48" x14ac:dyDescent="0.3">
      <c r="D2223" s="5"/>
      <c r="E2223" s="5"/>
      <c r="F2223" s="20"/>
      <c r="G2223" s="20"/>
      <c r="H2223" s="5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4"/>
      <c r="T2223" s="4"/>
      <c r="U2223" s="4"/>
      <c r="V2223" s="4"/>
      <c r="W2223" s="4"/>
      <c r="X2223" s="4"/>
      <c r="Y2223" s="4"/>
      <c r="Z2223" s="4"/>
      <c r="AA2223" s="4"/>
      <c r="AB2223" s="4"/>
      <c r="AC2223" s="4"/>
      <c r="AD2223" s="4"/>
      <c r="AE2223" s="4"/>
      <c r="AF2223" s="4"/>
      <c r="AG2223" s="4"/>
      <c r="AH2223" s="4"/>
      <c r="AI2223" s="4"/>
      <c r="AJ2223" s="4"/>
      <c r="AK2223" s="4"/>
      <c r="AL2223" s="4"/>
      <c r="AM2223" s="4"/>
      <c r="AN2223" s="4"/>
      <c r="AO2223" s="4"/>
      <c r="AP2223" s="4"/>
      <c r="AQ2223" s="4"/>
      <c r="AR2223" s="4"/>
      <c r="AS2223" s="4"/>
      <c r="AT2223" s="4"/>
      <c r="AU2223" s="4"/>
      <c r="AV2223" s="4"/>
    </row>
    <row r="2224" spans="4:48" x14ac:dyDescent="0.3">
      <c r="D2224" s="5"/>
      <c r="E2224" s="5"/>
      <c r="F2224" s="20"/>
      <c r="G2224" s="20"/>
      <c r="H2224" s="5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4"/>
      <c r="T2224" s="4"/>
      <c r="U2224" s="4"/>
      <c r="V2224" s="4"/>
      <c r="W2224" s="4"/>
      <c r="X2224" s="4"/>
      <c r="Y2224" s="4"/>
      <c r="Z2224" s="4"/>
      <c r="AA2224" s="4"/>
      <c r="AB2224" s="4"/>
      <c r="AC2224" s="4"/>
      <c r="AD2224" s="4"/>
      <c r="AE2224" s="4"/>
      <c r="AF2224" s="4"/>
      <c r="AG2224" s="4"/>
      <c r="AH2224" s="4"/>
      <c r="AI2224" s="4"/>
      <c r="AJ2224" s="4"/>
      <c r="AK2224" s="4"/>
      <c r="AL2224" s="4"/>
      <c r="AM2224" s="4"/>
      <c r="AN2224" s="4"/>
      <c r="AO2224" s="4"/>
      <c r="AP2224" s="4"/>
      <c r="AQ2224" s="4"/>
      <c r="AR2224" s="4"/>
      <c r="AS2224" s="4"/>
      <c r="AT2224" s="4"/>
      <c r="AU2224" s="4"/>
      <c r="AV2224" s="4"/>
    </row>
    <row r="2225" spans="4:48" x14ac:dyDescent="0.3">
      <c r="D2225" s="5"/>
      <c r="E2225" s="5"/>
      <c r="F2225" s="20"/>
      <c r="G2225" s="20"/>
      <c r="H2225" s="5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4"/>
      <c r="T2225" s="4"/>
      <c r="U2225" s="4"/>
      <c r="V2225" s="4"/>
      <c r="W2225" s="4"/>
      <c r="X2225" s="4"/>
      <c r="Y2225" s="4"/>
      <c r="Z2225" s="4"/>
      <c r="AA2225" s="4"/>
      <c r="AB2225" s="4"/>
      <c r="AC2225" s="4"/>
      <c r="AD2225" s="4"/>
      <c r="AE2225" s="4"/>
      <c r="AF2225" s="4"/>
      <c r="AG2225" s="4"/>
      <c r="AH2225" s="4"/>
      <c r="AI2225" s="4"/>
      <c r="AJ2225" s="4"/>
      <c r="AK2225" s="4"/>
      <c r="AL2225" s="4"/>
      <c r="AM2225" s="4"/>
      <c r="AN2225" s="4"/>
      <c r="AO2225" s="4"/>
      <c r="AP2225" s="4"/>
      <c r="AQ2225" s="4"/>
      <c r="AR2225" s="4"/>
      <c r="AS2225" s="4"/>
      <c r="AT2225" s="4"/>
      <c r="AU2225" s="4"/>
      <c r="AV2225" s="4"/>
    </row>
    <row r="2226" spans="4:48" x14ac:dyDescent="0.3">
      <c r="D2226" s="5"/>
      <c r="E2226" s="5"/>
      <c r="F2226" s="20"/>
      <c r="G2226" s="20"/>
      <c r="H2226" s="5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4"/>
      <c r="T2226" s="4"/>
      <c r="U2226" s="4"/>
      <c r="V2226" s="4"/>
      <c r="W2226" s="4"/>
      <c r="X2226" s="4"/>
      <c r="Y2226" s="4"/>
      <c r="Z2226" s="4"/>
      <c r="AA2226" s="4"/>
      <c r="AB2226" s="4"/>
      <c r="AC2226" s="4"/>
      <c r="AD2226" s="4"/>
      <c r="AE2226" s="4"/>
      <c r="AF2226" s="4"/>
      <c r="AG2226" s="4"/>
      <c r="AH2226" s="4"/>
      <c r="AI2226" s="4"/>
      <c r="AJ2226" s="4"/>
      <c r="AK2226" s="4"/>
      <c r="AL2226" s="4"/>
      <c r="AM2226" s="4"/>
      <c r="AN2226" s="4"/>
      <c r="AO2226" s="4"/>
      <c r="AP2226" s="4"/>
      <c r="AQ2226" s="4"/>
      <c r="AR2226" s="4"/>
      <c r="AS2226" s="4"/>
      <c r="AT2226" s="4"/>
      <c r="AU2226" s="4"/>
      <c r="AV2226" s="4"/>
    </row>
    <row r="2227" spans="4:48" x14ac:dyDescent="0.3">
      <c r="D2227" s="5"/>
      <c r="E2227" s="5"/>
      <c r="F2227" s="20"/>
      <c r="G2227" s="20"/>
      <c r="H2227" s="5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4"/>
      <c r="T2227" s="4"/>
      <c r="U2227" s="4"/>
      <c r="V2227" s="4"/>
      <c r="W2227" s="4"/>
      <c r="X2227" s="4"/>
      <c r="Y2227" s="4"/>
      <c r="Z2227" s="4"/>
      <c r="AA2227" s="4"/>
      <c r="AB2227" s="4"/>
      <c r="AC2227" s="4"/>
      <c r="AD2227" s="4"/>
      <c r="AE2227" s="4"/>
      <c r="AF2227" s="4"/>
      <c r="AG2227" s="4"/>
      <c r="AH2227" s="4"/>
      <c r="AI2227" s="4"/>
      <c r="AJ2227" s="4"/>
      <c r="AK2227" s="4"/>
      <c r="AL2227" s="4"/>
      <c r="AM2227" s="4"/>
      <c r="AN2227" s="4"/>
      <c r="AO2227" s="4"/>
      <c r="AP2227" s="4"/>
      <c r="AQ2227" s="4"/>
      <c r="AR2227" s="4"/>
      <c r="AS2227" s="4"/>
      <c r="AT2227" s="4"/>
      <c r="AU2227" s="4"/>
      <c r="AV2227" s="4"/>
    </row>
    <row r="2228" spans="4:48" x14ac:dyDescent="0.3">
      <c r="D2228" s="5"/>
      <c r="E2228" s="5"/>
      <c r="F2228" s="20"/>
      <c r="G2228" s="20"/>
      <c r="H2228" s="5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4"/>
      <c r="T2228" s="4"/>
      <c r="U2228" s="4"/>
      <c r="V2228" s="4"/>
      <c r="W2228" s="4"/>
      <c r="X2228" s="4"/>
      <c r="Y2228" s="4"/>
      <c r="Z2228" s="4"/>
      <c r="AA2228" s="4"/>
      <c r="AB2228" s="4"/>
      <c r="AC2228" s="4"/>
      <c r="AD2228" s="4"/>
      <c r="AE2228" s="4"/>
      <c r="AF2228" s="4"/>
      <c r="AG2228" s="4"/>
      <c r="AH2228" s="4"/>
      <c r="AI2228" s="4"/>
      <c r="AJ2228" s="4"/>
      <c r="AK2228" s="4"/>
      <c r="AL2228" s="4"/>
      <c r="AM2228" s="4"/>
      <c r="AN2228" s="4"/>
      <c r="AO2228" s="4"/>
      <c r="AP2228" s="4"/>
      <c r="AQ2228" s="4"/>
      <c r="AR2228" s="4"/>
      <c r="AS2228" s="4"/>
      <c r="AT2228" s="4"/>
      <c r="AU2228" s="4"/>
      <c r="AV2228" s="4"/>
    </row>
    <row r="2229" spans="4:48" x14ac:dyDescent="0.3">
      <c r="D2229" s="5"/>
      <c r="E2229" s="5"/>
      <c r="F2229" s="20"/>
      <c r="G2229" s="20"/>
      <c r="H2229" s="5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4"/>
      <c r="T2229" s="4"/>
      <c r="U2229" s="4"/>
      <c r="V2229" s="4"/>
      <c r="W2229" s="4"/>
      <c r="X2229" s="4"/>
      <c r="Y2229" s="4"/>
      <c r="Z2229" s="4"/>
      <c r="AA2229" s="4"/>
      <c r="AB2229" s="4"/>
      <c r="AC2229" s="4"/>
      <c r="AD2229" s="4"/>
      <c r="AE2229" s="4"/>
      <c r="AF2229" s="4"/>
      <c r="AG2229" s="4"/>
      <c r="AH2229" s="4"/>
      <c r="AI2229" s="4"/>
      <c r="AJ2229" s="4"/>
      <c r="AK2229" s="4"/>
      <c r="AL2229" s="4"/>
      <c r="AM2229" s="4"/>
      <c r="AN2229" s="4"/>
      <c r="AO2229" s="4"/>
      <c r="AP2229" s="4"/>
      <c r="AQ2229" s="4"/>
      <c r="AR2229" s="4"/>
      <c r="AS2229" s="4"/>
      <c r="AT2229" s="4"/>
      <c r="AU2229" s="4"/>
      <c r="AV2229" s="4"/>
    </row>
    <row r="2230" spans="4:48" x14ac:dyDescent="0.3">
      <c r="D2230" s="5"/>
      <c r="E2230" s="5"/>
      <c r="F2230" s="20"/>
      <c r="G2230" s="20"/>
      <c r="H2230" s="5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4"/>
      <c r="T2230" s="4"/>
      <c r="U2230" s="4"/>
      <c r="V2230" s="4"/>
      <c r="W2230" s="4"/>
      <c r="X2230" s="4"/>
      <c r="Y2230" s="4"/>
      <c r="Z2230" s="4"/>
      <c r="AA2230" s="4"/>
      <c r="AB2230" s="4"/>
      <c r="AC2230" s="4"/>
      <c r="AD2230" s="4"/>
      <c r="AE2230" s="4"/>
      <c r="AF2230" s="4"/>
      <c r="AG2230" s="4"/>
      <c r="AH2230" s="4"/>
      <c r="AI2230" s="4"/>
      <c r="AJ2230" s="4"/>
      <c r="AK2230" s="4"/>
      <c r="AL2230" s="4"/>
      <c r="AM2230" s="4"/>
      <c r="AN2230" s="4"/>
      <c r="AO2230" s="4"/>
      <c r="AP2230" s="4"/>
      <c r="AQ2230" s="4"/>
      <c r="AR2230" s="4"/>
      <c r="AS2230" s="4"/>
      <c r="AT2230" s="4"/>
      <c r="AU2230" s="4"/>
      <c r="AV2230" s="4"/>
    </row>
    <row r="2231" spans="4:48" x14ac:dyDescent="0.3">
      <c r="D2231" s="5"/>
      <c r="E2231" s="5"/>
      <c r="F2231" s="20"/>
      <c r="G2231" s="20"/>
      <c r="H2231" s="5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4"/>
      <c r="T2231" s="4"/>
      <c r="U2231" s="4"/>
      <c r="V2231" s="4"/>
      <c r="W2231" s="4"/>
      <c r="X2231" s="4"/>
      <c r="Y2231" s="4"/>
      <c r="Z2231" s="4"/>
      <c r="AA2231" s="4"/>
      <c r="AB2231" s="4"/>
      <c r="AC2231" s="4"/>
      <c r="AD2231" s="4"/>
      <c r="AE2231" s="4"/>
      <c r="AF2231" s="4"/>
      <c r="AG2231" s="4"/>
      <c r="AH2231" s="4"/>
      <c r="AI2231" s="4"/>
      <c r="AJ2231" s="4"/>
      <c r="AK2231" s="4"/>
      <c r="AL2231" s="4"/>
      <c r="AM2231" s="4"/>
      <c r="AN2231" s="4"/>
      <c r="AO2231" s="4"/>
      <c r="AP2231" s="4"/>
      <c r="AQ2231" s="4"/>
      <c r="AR2231" s="4"/>
      <c r="AS2231" s="4"/>
      <c r="AT2231" s="4"/>
      <c r="AU2231" s="4"/>
      <c r="AV2231" s="4"/>
    </row>
    <row r="2232" spans="4:48" x14ac:dyDescent="0.3">
      <c r="D2232" s="5"/>
      <c r="E2232" s="5"/>
      <c r="F2232" s="20"/>
      <c r="G2232" s="20"/>
      <c r="H2232" s="5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4"/>
      <c r="T2232" s="4"/>
      <c r="U2232" s="4"/>
      <c r="V2232" s="4"/>
      <c r="W2232" s="4"/>
      <c r="X2232" s="4"/>
      <c r="Y2232" s="4"/>
      <c r="Z2232" s="4"/>
      <c r="AA2232" s="4"/>
      <c r="AB2232" s="4"/>
      <c r="AC2232" s="4"/>
      <c r="AD2232" s="4"/>
      <c r="AE2232" s="4"/>
      <c r="AF2232" s="4"/>
      <c r="AG2232" s="4"/>
      <c r="AH2232" s="4"/>
      <c r="AI2232" s="4"/>
      <c r="AJ2232" s="4"/>
      <c r="AK2232" s="4"/>
      <c r="AL2232" s="4"/>
      <c r="AM2232" s="4"/>
      <c r="AN2232" s="4"/>
      <c r="AO2232" s="4"/>
      <c r="AP2232" s="4"/>
      <c r="AQ2232" s="4"/>
      <c r="AR2232" s="4"/>
      <c r="AS2232" s="4"/>
      <c r="AT2232" s="4"/>
      <c r="AU2232" s="4"/>
      <c r="AV2232" s="4"/>
    </row>
    <row r="2233" spans="4:48" x14ac:dyDescent="0.3">
      <c r="D2233" s="5"/>
      <c r="E2233" s="5"/>
      <c r="F2233" s="20"/>
      <c r="G2233" s="20"/>
      <c r="H2233" s="5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4"/>
      <c r="T2233" s="4"/>
      <c r="U2233" s="4"/>
      <c r="V2233" s="4"/>
      <c r="W2233" s="4"/>
      <c r="X2233" s="4"/>
      <c r="Y2233" s="4"/>
      <c r="Z2233" s="4"/>
      <c r="AA2233" s="4"/>
      <c r="AB2233" s="4"/>
      <c r="AC2233" s="4"/>
      <c r="AD2233" s="4"/>
      <c r="AE2233" s="4"/>
      <c r="AF2233" s="4"/>
      <c r="AG2233" s="4"/>
      <c r="AH2233" s="4"/>
      <c r="AI2233" s="4"/>
      <c r="AJ2233" s="4"/>
      <c r="AK2233" s="4"/>
      <c r="AL2233" s="4"/>
      <c r="AM2233" s="4"/>
      <c r="AN2233" s="4"/>
      <c r="AO2233" s="4"/>
      <c r="AP2233" s="4"/>
      <c r="AQ2233" s="4"/>
      <c r="AR2233" s="4"/>
      <c r="AS2233" s="4"/>
      <c r="AT2233" s="4"/>
      <c r="AU2233" s="4"/>
      <c r="AV2233" s="4"/>
    </row>
    <row r="2234" spans="4:48" x14ac:dyDescent="0.3">
      <c r="D2234" s="5"/>
      <c r="E2234" s="5"/>
      <c r="F2234" s="20"/>
      <c r="G2234" s="20"/>
      <c r="H2234" s="5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4"/>
      <c r="T2234" s="4"/>
      <c r="U2234" s="4"/>
      <c r="V2234" s="4"/>
      <c r="W2234" s="4"/>
      <c r="X2234" s="4"/>
      <c r="Y2234" s="4"/>
      <c r="Z2234" s="4"/>
      <c r="AA2234" s="4"/>
      <c r="AB2234" s="4"/>
      <c r="AC2234" s="4"/>
      <c r="AD2234" s="4"/>
      <c r="AE2234" s="4"/>
      <c r="AF2234" s="4"/>
      <c r="AG2234" s="4"/>
      <c r="AH2234" s="4"/>
      <c r="AI2234" s="4"/>
      <c r="AJ2234" s="4"/>
      <c r="AK2234" s="4"/>
      <c r="AL2234" s="4"/>
      <c r="AM2234" s="4"/>
      <c r="AN2234" s="4"/>
      <c r="AO2234" s="4"/>
      <c r="AP2234" s="4"/>
      <c r="AQ2234" s="4"/>
      <c r="AR2234" s="4"/>
      <c r="AS2234" s="4"/>
      <c r="AT2234" s="4"/>
      <c r="AU2234" s="4"/>
      <c r="AV2234" s="4"/>
    </row>
    <row r="2235" spans="4:48" x14ac:dyDescent="0.3">
      <c r="D2235" s="5"/>
      <c r="E2235" s="5"/>
      <c r="F2235" s="20"/>
      <c r="G2235" s="20"/>
      <c r="H2235" s="5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4"/>
      <c r="T2235" s="4"/>
      <c r="U2235" s="4"/>
      <c r="V2235" s="4"/>
      <c r="W2235" s="4"/>
      <c r="X2235" s="4"/>
      <c r="Y2235" s="4"/>
      <c r="Z2235" s="4"/>
      <c r="AA2235" s="4"/>
      <c r="AB2235" s="4"/>
      <c r="AC2235" s="4"/>
      <c r="AD2235" s="4"/>
      <c r="AE2235" s="4"/>
      <c r="AF2235" s="4"/>
      <c r="AG2235" s="4"/>
      <c r="AH2235" s="4"/>
      <c r="AI2235" s="4"/>
      <c r="AJ2235" s="4"/>
      <c r="AK2235" s="4"/>
      <c r="AL2235" s="4"/>
      <c r="AM2235" s="4"/>
      <c r="AN2235" s="4"/>
      <c r="AO2235" s="4"/>
      <c r="AP2235" s="4"/>
      <c r="AQ2235" s="4"/>
      <c r="AR2235" s="4"/>
      <c r="AS2235" s="4"/>
      <c r="AT2235" s="4"/>
      <c r="AU2235" s="4"/>
      <c r="AV2235" s="4"/>
    </row>
    <row r="2236" spans="4:48" x14ac:dyDescent="0.3">
      <c r="D2236" s="5"/>
      <c r="E2236" s="5"/>
      <c r="F2236" s="20"/>
      <c r="G2236" s="20"/>
      <c r="H2236" s="5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4"/>
      <c r="T2236" s="4"/>
      <c r="U2236" s="4"/>
      <c r="V2236" s="4"/>
      <c r="W2236" s="4"/>
      <c r="X2236" s="4"/>
      <c r="Y2236" s="4"/>
      <c r="Z2236" s="4"/>
      <c r="AA2236" s="4"/>
      <c r="AB2236" s="4"/>
      <c r="AC2236" s="4"/>
      <c r="AD2236" s="4"/>
      <c r="AE2236" s="4"/>
      <c r="AF2236" s="4"/>
      <c r="AG2236" s="4"/>
      <c r="AH2236" s="4"/>
      <c r="AI2236" s="4"/>
      <c r="AJ2236" s="4"/>
      <c r="AK2236" s="4"/>
      <c r="AL2236" s="4"/>
      <c r="AM2236" s="4"/>
      <c r="AN2236" s="4"/>
      <c r="AO2236" s="4"/>
      <c r="AP2236" s="4"/>
      <c r="AQ2236" s="4"/>
      <c r="AR2236" s="4"/>
      <c r="AS2236" s="4"/>
      <c r="AT2236" s="4"/>
      <c r="AU2236" s="4"/>
      <c r="AV2236" s="4"/>
    </row>
    <row r="2237" spans="4:48" x14ac:dyDescent="0.3">
      <c r="D2237" s="5"/>
      <c r="E2237" s="5"/>
      <c r="F2237" s="20"/>
      <c r="G2237" s="20"/>
      <c r="H2237" s="5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4"/>
      <c r="T2237" s="4"/>
      <c r="U2237" s="4"/>
      <c r="V2237" s="4"/>
      <c r="W2237" s="4"/>
      <c r="X2237" s="4"/>
      <c r="Y2237" s="4"/>
      <c r="Z2237" s="4"/>
      <c r="AA2237" s="4"/>
      <c r="AB2237" s="4"/>
      <c r="AC2237" s="4"/>
      <c r="AD2237" s="4"/>
      <c r="AE2237" s="4"/>
      <c r="AF2237" s="4"/>
      <c r="AG2237" s="4"/>
      <c r="AH2237" s="4"/>
      <c r="AI2237" s="4"/>
      <c r="AJ2237" s="4"/>
      <c r="AK2237" s="4"/>
      <c r="AL2237" s="4"/>
      <c r="AM2237" s="4"/>
      <c r="AN2237" s="4"/>
      <c r="AO2237" s="4"/>
      <c r="AP2237" s="4"/>
      <c r="AQ2237" s="4"/>
      <c r="AR2237" s="4"/>
      <c r="AS2237" s="4"/>
      <c r="AT2237" s="4"/>
      <c r="AU2237" s="4"/>
      <c r="AV2237" s="4"/>
    </row>
    <row r="2238" spans="4:48" x14ac:dyDescent="0.3">
      <c r="D2238" s="5"/>
      <c r="E2238" s="5"/>
      <c r="F2238" s="20"/>
      <c r="G2238" s="20"/>
      <c r="H2238" s="5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4"/>
      <c r="T2238" s="4"/>
      <c r="U2238" s="4"/>
      <c r="V2238" s="4"/>
      <c r="W2238" s="4"/>
      <c r="X2238" s="4"/>
      <c r="Y2238" s="4"/>
      <c r="Z2238" s="4"/>
      <c r="AA2238" s="4"/>
      <c r="AB2238" s="4"/>
      <c r="AC2238" s="4"/>
      <c r="AD2238" s="4"/>
      <c r="AE2238" s="4"/>
      <c r="AF2238" s="4"/>
      <c r="AG2238" s="4"/>
      <c r="AH2238" s="4"/>
      <c r="AI2238" s="4"/>
      <c r="AJ2238" s="4"/>
      <c r="AK2238" s="4"/>
      <c r="AL2238" s="4"/>
      <c r="AM2238" s="4"/>
      <c r="AN2238" s="4"/>
      <c r="AO2238" s="4"/>
      <c r="AP2238" s="4"/>
      <c r="AQ2238" s="4"/>
      <c r="AR2238" s="4"/>
      <c r="AS2238" s="4"/>
      <c r="AT2238" s="4"/>
      <c r="AU2238" s="4"/>
      <c r="AV2238" s="4"/>
    </row>
    <row r="2239" spans="4:48" x14ac:dyDescent="0.3">
      <c r="D2239" s="5"/>
      <c r="E2239" s="5"/>
      <c r="F2239" s="20"/>
      <c r="G2239" s="20"/>
      <c r="H2239" s="5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4"/>
      <c r="T2239" s="4"/>
      <c r="U2239" s="4"/>
      <c r="V2239" s="4"/>
      <c r="W2239" s="4"/>
      <c r="X2239" s="4"/>
      <c r="Y2239" s="4"/>
      <c r="Z2239" s="4"/>
      <c r="AA2239" s="4"/>
      <c r="AB2239" s="4"/>
      <c r="AC2239" s="4"/>
      <c r="AD2239" s="4"/>
      <c r="AE2239" s="4"/>
      <c r="AF2239" s="4"/>
      <c r="AG2239" s="4"/>
      <c r="AH2239" s="4"/>
      <c r="AI2239" s="4"/>
      <c r="AJ2239" s="4"/>
      <c r="AK2239" s="4"/>
      <c r="AL2239" s="4"/>
      <c r="AM2239" s="4"/>
      <c r="AN2239" s="4"/>
      <c r="AO2239" s="4"/>
      <c r="AP2239" s="4"/>
      <c r="AQ2239" s="4"/>
      <c r="AR2239" s="4"/>
      <c r="AS2239" s="4"/>
      <c r="AT2239" s="4"/>
      <c r="AU2239" s="4"/>
      <c r="AV2239" s="4"/>
    </row>
    <row r="2240" spans="4:48" x14ac:dyDescent="0.3">
      <c r="D2240" s="5"/>
      <c r="E2240" s="5"/>
      <c r="F2240" s="20"/>
      <c r="G2240" s="20"/>
      <c r="H2240" s="5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4"/>
      <c r="T2240" s="4"/>
      <c r="U2240" s="4"/>
      <c r="V2240" s="4"/>
      <c r="W2240" s="4"/>
      <c r="X2240" s="4"/>
      <c r="Y2240" s="4"/>
      <c r="Z2240" s="4"/>
      <c r="AA2240" s="4"/>
      <c r="AB2240" s="4"/>
      <c r="AC2240" s="4"/>
      <c r="AD2240" s="4"/>
      <c r="AE2240" s="4"/>
      <c r="AF2240" s="4"/>
      <c r="AG2240" s="4"/>
      <c r="AH2240" s="4"/>
      <c r="AI2240" s="4"/>
      <c r="AJ2240" s="4"/>
      <c r="AK2240" s="4"/>
      <c r="AL2240" s="4"/>
      <c r="AM2240" s="4"/>
      <c r="AN2240" s="4"/>
      <c r="AO2240" s="4"/>
      <c r="AP2240" s="4"/>
      <c r="AQ2240" s="4"/>
      <c r="AR2240" s="4"/>
      <c r="AS2240" s="4"/>
      <c r="AT2240" s="4"/>
      <c r="AU2240" s="4"/>
      <c r="AV2240" s="4"/>
    </row>
    <row r="2241" spans="4:48" x14ac:dyDescent="0.3">
      <c r="D2241" s="5"/>
      <c r="E2241" s="5"/>
      <c r="F2241" s="20"/>
      <c r="G2241" s="20"/>
      <c r="H2241" s="5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4"/>
      <c r="T2241" s="4"/>
      <c r="U2241" s="4"/>
      <c r="V2241" s="4"/>
      <c r="W2241" s="4"/>
      <c r="X2241" s="4"/>
      <c r="Y2241" s="4"/>
      <c r="Z2241" s="4"/>
      <c r="AA2241" s="4"/>
      <c r="AB2241" s="4"/>
      <c r="AC2241" s="4"/>
      <c r="AD2241" s="4"/>
      <c r="AE2241" s="4"/>
      <c r="AF2241" s="4"/>
      <c r="AG2241" s="4"/>
      <c r="AH2241" s="4"/>
      <c r="AI2241" s="4"/>
      <c r="AJ2241" s="4"/>
      <c r="AK2241" s="4"/>
      <c r="AL2241" s="4"/>
      <c r="AM2241" s="4"/>
      <c r="AN2241" s="4"/>
      <c r="AO2241" s="4"/>
      <c r="AP2241" s="4"/>
      <c r="AQ2241" s="4"/>
      <c r="AR2241" s="4"/>
      <c r="AS2241" s="4"/>
      <c r="AT2241" s="4"/>
      <c r="AU2241" s="4"/>
      <c r="AV2241" s="4"/>
    </row>
    <row r="2242" spans="4:48" x14ac:dyDescent="0.3">
      <c r="D2242" s="5"/>
      <c r="E2242" s="5"/>
      <c r="F2242" s="20"/>
      <c r="G2242" s="20"/>
      <c r="H2242" s="5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4"/>
      <c r="T2242" s="4"/>
      <c r="U2242" s="4"/>
      <c r="V2242" s="4"/>
      <c r="W2242" s="4"/>
      <c r="X2242" s="4"/>
      <c r="Y2242" s="4"/>
      <c r="Z2242" s="4"/>
      <c r="AA2242" s="4"/>
      <c r="AB2242" s="4"/>
      <c r="AC2242" s="4"/>
      <c r="AD2242" s="4"/>
      <c r="AE2242" s="4"/>
      <c r="AF2242" s="4"/>
      <c r="AG2242" s="4"/>
      <c r="AH2242" s="4"/>
      <c r="AI2242" s="4"/>
      <c r="AJ2242" s="4"/>
      <c r="AK2242" s="4"/>
      <c r="AL2242" s="4"/>
      <c r="AM2242" s="4"/>
      <c r="AN2242" s="4"/>
      <c r="AO2242" s="4"/>
      <c r="AP2242" s="4"/>
      <c r="AQ2242" s="4"/>
      <c r="AR2242" s="4"/>
      <c r="AS2242" s="4"/>
      <c r="AT2242" s="4"/>
      <c r="AU2242" s="4"/>
      <c r="AV2242" s="4"/>
    </row>
    <row r="2243" spans="4:48" x14ac:dyDescent="0.3">
      <c r="D2243" s="5"/>
      <c r="E2243" s="5"/>
      <c r="F2243" s="20"/>
      <c r="G2243" s="20"/>
      <c r="H2243" s="5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4"/>
      <c r="T2243" s="4"/>
      <c r="U2243" s="4"/>
      <c r="V2243" s="4"/>
      <c r="W2243" s="4"/>
      <c r="X2243" s="4"/>
      <c r="Y2243" s="4"/>
      <c r="Z2243" s="4"/>
      <c r="AA2243" s="4"/>
      <c r="AB2243" s="4"/>
      <c r="AC2243" s="4"/>
      <c r="AD2243" s="4"/>
      <c r="AE2243" s="4"/>
      <c r="AF2243" s="4"/>
      <c r="AG2243" s="4"/>
      <c r="AH2243" s="4"/>
      <c r="AI2243" s="4"/>
      <c r="AJ2243" s="4"/>
      <c r="AK2243" s="4"/>
      <c r="AL2243" s="4"/>
      <c r="AM2243" s="4"/>
      <c r="AN2243" s="4"/>
      <c r="AO2243" s="4"/>
      <c r="AP2243" s="4"/>
      <c r="AQ2243" s="4"/>
      <c r="AR2243" s="4"/>
      <c r="AS2243" s="4"/>
      <c r="AT2243" s="4"/>
      <c r="AU2243" s="4"/>
      <c r="AV2243" s="4"/>
    </row>
    <row r="2244" spans="4:48" x14ac:dyDescent="0.3">
      <c r="D2244" s="5"/>
      <c r="E2244" s="5"/>
      <c r="F2244" s="20"/>
      <c r="G2244" s="20"/>
      <c r="H2244" s="5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4"/>
      <c r="T2244" s="4"/>
      <c r="U2244" s="4"/>
      <c r="V2244" s="4"/>
      <c r="W2244" s="4"/>
      <c r="X2244" s="4"/>
      <c r="Y2244" s="4"/>
      <c r="Z2244" s="4"/>
      <c r="AA2244" s="4"/>
      <c r="AB2244" s="4"/>
      <c r="AC2244" s="4"/>
      <c r="AD2244" s="4"/>
      <c r="AE2244" s="4"/>
      <c r="AF2244" s="4"/>
      <c r="AG2244" s="4"/>
      <c r="AH2244" s="4"/>
      <c r="AI2244" s="4"/>
      <c r="AJ2244" s="4"/>
      <c r="AK2244" s="4"/>
      <c r="AL2244" s="4"/>
      <c r="AM2244" s="4"/>
      <c r="AN2244" s="4"/>
      <c r="AO2244" s="4"/>
      <c r="AP2244" s="4"/>
      <c r="AQ2244" s="4"/>
      <c r="AR2244" s="4"/>
      <c r="AS2244" s="4"/>
      <c r="AT2244" s="4"/>
      <c r="AU2244" s="4"/>
      <c r="AV2244" s="4"/>
    </row>
    <row r="2245" spans="4:48" x14ac:dyDescent="0.3">
      <c r="D2245" s="5"/>
      <c r="E2245" s="5"/>
      <c r="F2245" s="20"/>
      <c r="G2245" s="20"/>
      <c r="H2245" s="5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4"/>
      <c r="T2245" s="4"/>
      <c r="U2245" s="4"/>
      <c r="V2245" s="4"/>
      <c r="W2245" s="4"/>
      <c r="X2245" s="4"/>
      <c r="Y2245" s="4"/>
      <c r="Z2245" s="4"/>
      <c r="AA2245" s="4"/>
      <c r="AB2245" s="4"/>
      <c r="AC2245" s="4"/>
      <c r="AD2245" s="4"/>
      <c r="AE2245" s="4"/>
      <c r="AF2245" s="4"/>
      <c r="AG2245" s="4"/>
      <c r="AH2245" s="4"/>
      <c r="AI2245" s="4"/>
      <c r="AJ2245" s="4"/>
      <c r="AK2245" s="4"/>
      <c r="AL2245" s="4"/>
      <c r="AM2245" s="4"/>
      <c r="AN2245" s="4"/>
      <c r="AO2245" s="4"/>
      <c r="AP2245" s="4"/>
      <c r="AQ2245" s="4"/>
      <c r="AR2245" s="4"/>
      <c r="AS2245" s="4"/>
      <c r="AT2245" s="4"/>
      <c r="AU2245" s="4"/>
      <c r="AV2245" s="4"/>
    </row>
    <row r="2246" spans="4:48" x14ac:dyDescent="0.3">
      <c r="D2246" s="5"/>
      <c r="E2246" s="5"/>
      <c r="F2246" s="20"/>
      <c r="G2246" s="20"/>
      <c r="H2246" s="5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4"/>
      <c r="T2246" s="4"/>
      <c r="U2246" s="4"/>
      <c r="V2246" s="4"/>
      <c r="W2246" s="4"/>
      <c r="X2246" s="4"/>
      <c r="Y2246" s="4"/>
      <c r="Z2246" s="4"/>
      <c r="AA2246" s="4"/>
      <c r="AB2246" s="4"/>
      <c r="AC2246" s="4"/>
      <c r="AD2246" s="4"/>
      <c r="AE2246" s="4"/>
      <c r="AF2246" s="4"/>
      <c r="AG2246" s="4"/>
      <c r="AH2246" s="4"/>
      <c r="AI2246" s="4"/>
      <c r="AJ2246" s="4"/>
      <c r="AK2246" s="4"/>
      <c r="AL2246" s="4"/>
      <c r="AM2246" s="4"/>
      <c r="AN2246" s="4"/>
      <c r="AO2246" s="4"/>
      <c r="AP2246" s="4"/>
      <c r="AQ2246" s="4"/>
      <c r="AR2246" s="4"/>
      <c r="AS2246" s="4"/>
      <c r="AT2246" s="4"/>
      <c r="AU2246" s="4"/>
      <c r="AV2246" s="4"/>
    </row>
    <row r="2247" spans="4:48" x14ac:dyDescent="0.3">
      <c r="D2247" s="5"/>
      <c r="E2247" s="5"/>
      <c r="F2247" s="20"/>
      <c r="G2247" s="20"/>
      <c r="H2247" s="5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4"/>
      <c r="T2247" s="4"/>
      <c r="U2247" s="4"/>
      <c r="V2247" s="4"/>
      <c r="W2247" s="4"/>
      <c r="X2247" s="4"/>
      <c r="Y2247" s="4"/>
      <c r="Z2247" s="4"/>
      <c r="AA2247" s="4"/>
      <c r="AB2247" s="4"/>
      <c r="AC2247" s="4"/>
      <c r="AD2247" s="4"/>
      <c r="AE2247" s="4"/>
      <c r="AF2247" s="4"/>
      <c r="AG2247" s="4"/>
      <c r="AH2247" s="4"/>
      <c r="AI2247" s="4"/>
      <c r="AJ2247" s="4"/>
      <c r="AK2247" s="4"/>
      <c r="AL2247" s="4"/>
      <c r="AM2247" s="4"/>
      <c r="AN2247" s="4"/>
      <c r="AO2247" s="4"/>
      <c r="AP2247" s="4"/>
      <c r="AQ2247" s="4"/>
      <c r="AR2247" s="4"/>
      <c r="AS2247" s="4"/>
      <c r="AT2247" s="4"/>
      <c r="AU2247" s="4"/>
      <c r="AV2247" s="4"/>
    </row>
    <row r="2248" spans="4:48" x14ac:dyDescent="0.3">
      <c r="D2248" s="5"/>
      <c r="E2248" s="5"/>
      <c r="F2248" s="20"/>
      <c r="G2248" s="20"/>
      <c r="H2248" s="5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4"/>
      <c r="T2248" s="4"/>
      <c r="U2248" s="4"/>
      <c r="V2248" s="4"/>
      <c r="W2248" s="4"/>
      <c r="X2248" s="4"/>
      <c r="Y2248" s="4"/>
      <c r="Z2248" s="4"/>
      <c r="AA2248" s="4"/>
      <c r="AB2248" s="4"/>
      <c r="AC2248" s="4"/>
      <c r="AD2248" s="4"/>
      <c r="AE2248" s="4"/>
      <c r="AF2248" s="4"/>
      <c r="AG2248" s="4"/>
      <c r="AH2248" s="4"/>
      <c r="AI2248" s="4"/>
      <c r="AJ2248" s="4"/>
      <c r="AK2248" s="4"/>
      <c r="AL2248" s="4"/>
      <c r="AM2248" s="4"/>
      <c r="AN2248" s="4"/>
      <c r="AO2248" s="4"/>
      <c r="AP2248" s="4"/>
      <c r="AQ2248" s="4"/>
      <c r="AR2248" s="4"/>
      <c r="AS2248" s="4"/>
      <c r="AT2248" s="4"/>
      <c r="AU2248" s="4"/>
      <c r="AV2248" s="4"/>
    </row>
    <row r="2249" spans="4:48" x14ac:dyDescent="0.3">
      <c r="D2249" s="5"/>
      <c r="E2249" s="5"/>
      <c r="F2249" s="20"/>
      <c r="G2249" s="20"/>
      <c r="H2249" s="5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4"/>
      <c r="T2249" s="4"/>
      <c r="U2249" s="4"/>
      <c r="V2249" s="4"/>
      <c r="W2249" s="4"/>
      <c r="X2249" s="4"/>
      <c r="Y2249" s="4"/>
      <c r="Z2249" s="4"/>
      <c r="AA2249" s="4"/>
      <c r="AB2249" s="4"/>
      <c r="AC2249" s="4"/>
      <c r="AD2249" s="4"/>
      <c r="AE2249" s="4"/>
      <c r="AF2249" s="4"/>
      <c r="AG2249" s="4"/>
      <c r="AH2249" s="4"/>
      <c r="AI2249" s="4"/>
      <c r="AJ2249" s="4"/>
      <c r="AK2249" s="4"/>
      <c r="AL2249" s="4"/>
      <c r="AM2249" s="4"/>
      <c r="AN2249" s="4"/>
      <c r="AO2249" s="4"/>
      <c r="AP2249" s="4"/>
      <c r="AQ2249" s="4"/>
      <c r="AR2249" s="4"/>
      <c r="AS2249" s="4"/>
      <c r="AT2249" s="4"/>
      <c r="AU2249" s="4"/>
      <c r="AV2249" s="4"/>
    </row>
    <row r="2250" spans="4:48" x14ac:dyDescent="0.3">
      <c r="D2250" s="5"/>
      <c r="E2250" s="5"/>
      <c r="F2250" s="20"/>
      <c r="G2250" s="20"/>
      <c r="H2250" s="5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4"/>
      <c r="T2250" s="4"/>
      <c r="U2250" s="4"/>
      <c r="V2250" s="4"/>
      <c r="W2250" s="4"/>
      <c r="X2250" s="4"/>
      <c r="Y2250" s="4"/>
      <c r="Z2250" s="4"/>
      <c r="AA2250" s="4"/>
      <c r="AB2250" s="4"/>
      <c r="AC2250" s="4"/>
      <c r="AD2250" s="4"/>
      <c r="AE2250" s="4"/>
      <c r="AF2250" s="4"/>
      <c r="AG2250" s="4"/>
      <c r="AH2250" s="4"/>
      <c r="AI2250" s="4"/>
      <c r="AJ2250" s="4"/>
      <c r="AK2250" s="4"/>
      <c r="AL2250" s="4"/>
      <c r="AM2250" s="4"/>
      <c r="AN2250" s="4"/>
      <c r="AO2250" s="4"/>
      <c r="AP2250" s="4"/>
      <c r="AQ2250" s="4"/>
      <c r="AR2250" s="4"/>
      <c r="AS2250" s="4"/>
      <c r="AT2250" s="4"/>
      <c r="AU2250" s="4"/>
      <c r="AV2250" s="4"/>
    </row>
    <row r="2251" spans="4:48" x14ac:dyDescent="0.3">
      <c r="D2251" s="5"/>
      <c r="E2251" s="5"/>
      <c r="F2251" s="20"/>
      <c r="G2251" s="20"/>
      <c r="H2251" s="5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4"/>
      <c r="T2251" s="4"/>
      <c r="U2251" s="4"/>
      <c r="V2251" s="4"/>
      <c r="W2251" s="4"/>
      <c r="X2251" s="4"/>
      <c r="Y2251" s="4"/>
      <c r="Z2251" s="4"/>
      <c r="AA2251" s="4"/>
      <c r="AB2251" s="4"/>
      <c r="AC2251" s="4"/>
      <c r="AD2251" s="4"/>
      <c r="AE2251" s="4"/>
      <c r="AF2251" s="4"/>
      <c r="AG2251" s="4"/>
      <c r="AH2251" s="4"/>
      <c r="AI2251" s="4"/>
      <c r="AJ2251" s="4"/>
      <c r="AK2251" s="4"/>
      <c r="AL2251" s="4"/>
      <c r="AM2251" s="4"/>
      <c r="AN2251" s="4"/>
      <c r="AO2251" s="4"/>
      <c r="AP2251" s="4"/>
      <c r="AQ2251" s="4"/>
      <c r="AR2251" s="4"/>
      <c r="AS2251" s="4"/>
      <c r="AT2251" s="4"/>
      <c r="AU2251" s="4"/>
      <c r="AV2251" s="4"/>
    </row>
    <row r="2252" spans="4:48" x14ac:dyDescent="0.3">
      <c r="D2252" s="5"/>
      <c r="E2252" s="5"/>
      <c r="F2252" s="20"/>
      <c r="G2252" s="20"/>
      <c r="H2252" s="5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4"/>
      <c r="T2252" s="4"/>
      <c r="U2252" s="4"/>
      <c r="V2252" s="4"/>
      <c r="W2252" s="4"/>
      <c r="X2252" s="4"/>
      <c r="Y2252" s="4"/>
      <c r="Z2252" s="4"/>
      <c r="AA2252" s="4"/>
      <c r="AB2252" s="4"/>
      <c r="AC2252" s="4"/>
      <c r="AD2252" s="4"/>
      <c r="AE2252" s="4"/>
      <c r="AF2252" s="4"/>
      <c r="AG2252" s="4"/>
      <c r="AH2252" s="4"/>
      <c r="AI2252" s="4"/>
      <c r="AJ2252" s="4"/>
      <c r="AK2252" s="4"/>
      <c r="AL2252" s="4"/>
      <c r="AM2252" s="4"/>
      <c r="AN2252" s="4"/>
      <c r="AO2252" s="4"/>
      <c r="AP2252" s="4"/>
      <c r="AQ2252" s="4"/>
      <c r="AR2252" s="4"/>
      <c r="AS2252" s="4"/>
      <c r="AT2252" s="4"/>
      <c r="AU2252" s="4"/>
      <c r="AV2252" s="4"/>
    </row>
    <row r="2253" spans="4:48" x14ac:dyDescent="0.3">
      <c r="D2253" s="5"/>
      <c r="E2253" s="5"/>
      <c r="F2253" s="20"/>
      <c r="G2253" s="20"/>
      <c r="H2253" s="5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4"/>
      <c r="T2253" s="4"/>
      <c r="U2253" s="4"/>
      <c r="V2253" s="4"/>
      <c r="W2253" s="4"/>
      <c r="X2253" s="4"/>
      <c r="Y2253" s="4"/>
      <c r="Z2253" s="4"/>
      <c r="AA2253" s="4"/>
      <c r="AB2253" s="4"/>
      <c r="AC2253" s="4"/>
      <c r="AD2253" s="4"/>
      <c r="AE2253" s="4"/>
      <c r="AF2253" s="4"/>
      <c r="AG2253" s="4"/>
      <c r="AH2253" s="4"/>
      <c r="AI2253" s="4"/>
      <c r="AJ2253" s="4"/>
      <c r="AK2253" s="4"/>
      <c r="AL2253" s="4"/>
      <c r="AM2253" s="4"/>
      <c r="AN2253" s="4"/>
      <c r="AO2253" s="4"/>
      <c r="AP2253" s="4"/>
      <c r="AQ2253" s="4"/>
      <c r="AR2253" s="4"/>
      <c r="AS2253" s="4"/>
      <c r="AT2253" s="4"/>
      <c r="AU2253" s="4"/>
      <c r="AV2253" s="4"/>
    </row>
    <row r="2254" spans="4:48" x14ac:dyDescent="0.3">
      <c r="D2254" s="5"/>
      <c r="E2254" s="5"/>
      <c r="F2254" s="20"/>
      <c r="G2254" s="20"/>
      <c r="H2254" s="5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4"/>
      <c r="T2254" s="4"/>
      <c r="U2254" s="4"/>
      <c r="V2254" s="4"/>
      <c r="W2254" s="4"/>
      <c r="X2254" s="4"/>
      <c r="Y2254" s="4"/>
      <c r="Z2254" s="4"/>
      <c r="AA2254" s="4"/>
      <c r="AB2254" s="4"/>
      <c r="AC2254" s="4"/>
      <c r="AD2254" s="4"/>
      <c r="AE2254" s="4"/>
      <c r="AF2254" s="4"/>
      <c r="AG2254" s="4"/>
      <c r="AH2254" s="4"/>
      <c r="AI2254" s="4"/>
      <c r="AJ2254" s="4"/>
      <c r="AK2254" s="4"/>
      <c r="AL2254" s="4"/>
      <c r="AM2254" s="4"/>
      <c r="AN2254" s="4"/>
      <c r="AO2254" s="4"/>
      <c r="AP2254" s="4"/>
      <c r="AQ2254" s="4"/>
      <c r="AR2254" s="4"/>
      <c r="AS2254" s="4"/>
      <c r="AT2254" s="4"/>
      <c r="AU2254" s="4"/>
      <c r="AV2254" s="4"/>
    </row>
    <row r="2255" spans="4:48" x14ac:dyDescent="0.3">
      <c r="D2255" s="5"/>
      <c r="E2255" s="5"/>
      <c r="F2255" s="20"/>
      <c r="G2255" s="20"/>
      <c r="H2255" s="5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4"/>
      <c r="T2255" s="4"/>
      <c r="U2255" s="4"/>
      <c r="V2255" s="4"/>
      <c r="W2255" s="4"/>
      <c r="X2255" s="4"/>
      <c r="Y2255" s="4"/>
      <c r="Z2255" s="4"/>
      <c r="AA2255" s="4"/>
      <c r="AB2255" s="4"/>
      <c r="AC2255" s="4"/>
      <c r="AD2255" s="4"/>
      <c r="AE2255" s="4"/>
      <c r="AF2255" s="4"/>
      <c r="AG2255" s="4"/>
      <c r="AH2255" s="4"/>
      <c r="AI2255" s="4"/>
      <c r="AJ2255" s="4"/>
      <c r="AK2255" s="4"/>
      <c r="AL2255" s="4"/>
      <c r="AM2255" s="4"/>
      <c r="AN2255" s="4"/>
      <c r="AO2255" s="4"/>
      <c r="AP2255" s="4"/>
      <c r="AQ2255" s="4"/>
      <c r="AR2255" s="4"/>
      <c r="AS2255" s="4"/>
      <c r="AT2255" s="4"/>
      <c r="AU2255" s="4"/>
      <c r="AV2255" s="4"/>
    </row>
    <row r="2256" spans="4:48" x14ac:dyDescent="0.3">
      <c r="D2256" s="5"/>
      <c r="E2256" s="5"/>
      <c r="F2256" s="20"/>
      <c r="G2256" s="20"/>
      <c r="H2256" s="5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4"/>
      <c r="T2256" s="4"/>
      <c r="U2256" s="4"/>
      <c r="V2256" s="4"/>
      <c r="W2256" s="4"/>
      <c r="X2256" s="4"/>
      <c r="Y2256" s="4"/>
      <c r="Z2256" s="4"/>
      <c r="AA2256" s="4"/>
      <c r="AB2256" s="4"/>
      <c r="AC2256" s="4"/>
      <c r="AD2256" s="4"/>
      <c r="AE2256" s="4"/>
      <c r="AF2256" s="4"/>
      <c r="AG2256" s="4"/>
      <c r="AH2256" s="4"/>
      <c r="AI2256" s="4"/>
      <c r="AJ2256" s="4"/>
      <c r="AK2256" s="4"/>
      <c r="AL2256" s="4"/>
      <c r="AM2256" s="4"/>
      <c r="AN2256" s="4"/>
      <c r="AO2256" s="4"/>
      <c r="AP2256" s="4"/>
      <c r="AQ2256" s="4"/>
      <c r="AR2256" s="4"/>
      <c r="AS2256" s="4"/>
      <c r="AT2256" s="4"/>
      <c r="AU2256" s="4"/>
      <c r="AV2256" s="4"/>
    </row>
    <row r="2257" spans="4:48" x14ac:dyDescent="0.3">
      <c r="D2257" s="5"/>
      <c r="E2257" s="5"/>
      <c r="F2257" s="20"/>
      <c r="G2257" s="20"/>
      <c r="H2257" s="5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4"/>
      <c r="T2257" s="4"/>
      <c r="U2257" s="4"/>
      <c r="V2257" s="4"/>
      <c r="W2257" s="4"/>
      <c r="X2257" s="4"/>
      <c r="Y2257" s="4"/>
      <c r="Z2257" s="4"/>
      <c r="AA2257" s="4"/>
      <c r="AB2257" s="4"/>
      <c r="AC2257" s="4"/>
      <c r="AD2257" s="4"/>
      <c r="AE2257" s="4"/>
      <c r="AF2257" s="4"/>
      <c r="AG2257" s="4"/>
      <c r="AH2257" s="4"/>
      <c r="AI2257" s="4"/>
      <c r="AJ2257" s="4"/>
      <c r="AK2257" s="4"/>
      <c r="AL2257" s="4"/>
      <c r="AM2257" s="4"/>
      <c r="AN2257" s="4"/>
      <c r="AO2257" s="4"/>
      <c r="AP2257" s="4"/>
      <c r="AQ2257" s="4"/>
      <c r="AR2257" s="4"/>
      <c r="AS2257" s="4"/>
      <c r="AT2257" s="4"/>
      <c r="AU2257" s="4"/>
      <c r="AV2257" s="4"/>
    </row>
    <row r="2258" spans="4:48" x14ac:dyDescent="0.3">
      <c r="D2258" s="5"/>
      <c r="E2258" s="5"/>
      <c r="F2258" s="20"/>
      <c r="G2258" s="20"/>
      <c r="H2258" s="5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4"/>
      <c r="T2258" s="4"/>
      <c r="U2258" s="4"/>
      <c r="V2258" s="4"/>
      <c r="W2258" s="4"/>
      <c r="X2258" s="4"/>
      <c r="Y2258" s="4"/>
      <c r="Z2258" s="4"/>
      <c r="AA2258" s="4"/>
      <c r="AB2258" s="4"/>
      <c r="AC2258" s="4"/>
      <c r="AD2258" s="4"/>
      <c r="AE2258" s="4"/>
      <c r="AF2258" s="4"/>
      <c r="AG2258" s="4"/>
      <c r="AH2258" s="4"/>
      <c r="AI2258" s="4"/>
      <c r="AJ2258" s="4"/>
      <c r="AK2258" s="4"/>
      <c r="AL2258" s="4"/>
      <c r="AM2258" s="4"/>
      <c r="AN2258" s="4"/>
      <c r="AO2258" s="4"/>
      <c r="AP2258" s="4"/>
      <c r="AQ2258" s="4"/>
      <c r="AR2258" s="4"/>
      <c r="AS2258" s="4"/>
      <c r="AT2258" s="4"/>
      <c r="AU2258" s="4"/>
      <c r="AV2258" s="4"/>
    </row>
    <row r="2259" spans="4:48" x14ac:dyDescent="0.3">
      <c r="D2259" s="5"/>
      <c r="E2259" s="5"/>
      <c r="F2259" s="20"/>
      <c r="G2259" s="20"/>
      <c r="H2259" s="5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4"/>
      <c r="T2259" s="4"/>
      <c r="U2259" s="4"/>
      <c r="V2259" s="4"/>
      <c r="W2259" s="4"/>
      <c r="X2259" s="4"/>
      <c r="Y2259" s="4"/>
      <c r="Z2259" s="4"/>
      <c r="AA2259" s="4"/>
      <c r="AB2259" s="4"/>
      <c r="AC2259" s="4"/>
      <c r="AD2259" s="4"/>
      <c r="AE2259" s="4"/>
      <c r="AF2259" s="4"/>
      <c r="AG2259" s="4"/>
      <c r="AH2259" s="4"/>
      <c r="AI2259" s="4"/>
      <c r="AJ2259" s="4"/>
      <c r="AK2259" s="4"/>
      <c r="AL2259" s="4"/>
      <c r="AM2259" s="4"/>
      <c r="AN2259" s="4"/>
      <c r="AO2259" s="4"/>
      <c r="AP2259" s="4"/>
      <c r="AQ2259" s="4"/>
      <c r="AR2259" s="4"/>
      <c r="AS2259" s="4"/>
      <c r="AT2259" s="4"/>
      <c r="AU2259" s="4"/>
      <c r="AV2259" s="4"/>
    </row>
    <row r="2260" spans="4:48" x14ac:dyDescent="0.3">
      <c r="D2260" s="5"/>
      <c r="E2260" s="5"/>
      <c r="F2260" s="20"/>
      <c r="G2260" s="20"/>
      <c r="H2260" s="5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4"/>
      <c r="T2260" s="4"/>
      <c r="U2260" s="4"/>
      <c r="V2260" s="4"/>
      <c r="W2260" s="4"/>
      <c r="X2260" s="4"/>
      <c r="Y2260" s="4"/>
      <c r="Z2260" s="4"/>
      <c r="AA2260" s="4"/>
      <c r="AB2260" s="4"/>
      <c r="AC2260" s="4"/>
      <c r="AD2260" s="4"/>
      <c r="AE2260" s="4"/>
      <c r="AF2260" s="4"/>
      <c r="AG2260" s="4"/>
      <c r="AH2260" s="4"/>
      <c r="AI2260" s="4"/>
      <c r="AJ2260" s="4"/>
      <c r="AK2260" s="4"/>
      <c r="AL2260" s="4"/>
      <c r="AM2260" s="4"/>
      <c r="AN2260" s="4"/>
      <c r="AO2260" s="4"/>
      <c r="AP2260" s="4"/>
      <c r="AQ2260" s="4"/>
      <c r="AR2260" s="4"/>
      <c r="AS2260" s="4"/>
      <c r="AT2260" s="4"/>
      <c r="AU2260" s="4"/>
      <c r="AV2260" s="4"/>
    </row>
    <row r="2261" spans="4:48" x14ac:dyDescent="0.3">
      <c r="D2261" s="5"/>
      <c r="E2261" s="5"/>
      <c r="F2261" s="20"/>
      <c r="G2261" s="20"/>
      <c r="H2261" s="5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4"/>
      <c r="T2261" s="4"/>
      <c r="U2261" s="4"/>
      <c r="V2261" s="4"/>
      <c r="W2261" s="4"/>
      <c r="X2261" s="4"/>
      <c r="Y2261" s="4"/>
      <c r="Z2261" s="4"/>
      <c r="AA2261" s="4"/>
      <c r="AB2261" s="4"/>
      <c r="AC2261" s="4"/>
      <c r="AD2261" s="4"/>
      <c r="AE2261" s="4"/>
      <c r="AF2261" s="4"/>
      <c r="AG2261" s="4"/>
      <c r="AH2261" s="4"/>
      <c r="AI2261" s="4"/>
      <c r="AJ2261" s="4"/>
      <c r="AK2261" s="4"/>
      <c r="AL2261" s="4"/>
      <c r="AM2261" s="4"/>
      <c r="AN2261" s="4"/>
      <c r="AO2261" s="4"/>
      <c r="AP2261" s="4"/>
      <c r="AQ2261" s="4"/>
      <c r="AR2261" s="4"/>
      <c r="AS2261" s="4"/>
      <c r="AT2261" s="4"/>
      <c r="AU2261" s="4"/>
      <c r="AV2261" s="4"/>
    </row>
    <row r="2262" spans="4:48" x14ac:dyDescent="0.3">
      <c r="D2262" s="5"/>
      <c r="E2262" s="5"/>
      <c r="F2262" s="20"/>
      <c r="G2262" s="20"/>
      <c r="H2262" s="5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4"/>
      <c r="T2262" s="4"/>
      <c r="U2262" s="4"/>
      <c r="V2262" s="4"/>
      <c r="W2262" s="4"/>
      <c r="X2262" s="4"/>
      <c r="Y2262" s="4"/>
      <c r="Z2262" s="4"/>
      <c r="AA2262" s="4"/>
      <c r="AB2262" s="4"/>
      <c r="AC2262" s="4"/>
      <c r="AD2262" s="4"/>
      <c r="AE2262" s="4"/>
      <c r="AF2262" s="4"/>
      <c r="AG2262" s="4"/>
      <c r="AH2262" s="4"/>
      <c r="AI2262" s="4"/>
      <c r="AJ2262" s="4"/>
      <c r="AK2262" s="4"/>
      <c r="AL2262" s="4"/>
      <c r="AM2262" s="4"/>
      <c r="AN2262" s="4"/>
      <c r="AO2262" s="4"/>
      <c r="AP2262" s="4"/>
      <c r="AQ2262" s="4"/>
      <c r="AR2262" s="4"/>
      <c r="AS2262" s="4"/>
      <c r="AT2262" s="4"/>
      <c r="AU2262" s="4"/>
      <c r="AV2262" s="4"/>
    </row>
    <row r="2263" spans="4:48" x14ac:dyDescent="0.3">
      <c r="D2263" s="5"/>
      <c r="E2263" s="5"/>
      <c r="F2263" s="20"/>
      <c r="G2263" s="20"/>
      <c r="H2263" s="5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4"/>
      <c r="T2263" s="4"/>
      <c r="U2263" s="4"/>
      <c r="V2263" s="4"/>
      <c r="W2263" s="4"/>
      <c r="X2263" s="4"/>
      <c r="Y2263" s="4"/>
      <c r="Z2263" s="4"/>
      <c r="AA2263" s="4"/>
      <c r="AB2263" s="4"/>
      <c r="AC2263" s="4"/>
      <c r="AD2263" s="4"/>
      <c r="AE2263" s="4"/>
      <c r="AF2263" s="4"/>
      <c r="AG2263" s="4"/>
      <c r="AH2263" s="4"/>
      <c r="AI2263" s="4"/>
      <c r="AJ2263" s="4"/>
      <c r="AK2263" s="4"/>
      <c r="AL2263" s="4"/>
      <c r="AM2263" s="4"/>
      <c r="AN2263" s="4"/>
      <c r="AO2263" s="4"/>
      <c r="AP2263" s="4"/>
      <c r="AQ2263" s="4"/>
      <c r="AR2263" s="4"/>
      <c r="AS2263" s="4"/>
      <c r="AT2263" s="4"/>
      <c r="AU2263" s="4"/>
      <c r="AV2263" s="4"/>
    </row>
    <row r="2264" spans="4:48" x14ac:dyDescent="0.3">
      <c r="D2264" s="5"/>
      <c r="E2264" s="5"/>
      <c r="F2264" s="20"/>
      <c r="G2264" s="20"/>
      <c r="H2264" s="5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4"/>
      <c r="T2264" s="4"/>
      <c r="U2264" s="4"/>
      <c r="V2264" s="4"/>
      <c r="W2264" s="4"/>
      <c r="X2264" s="4"/>
      <c r="Y2264" s="4"/>
      <c r="Z2264" s="4"/>
      <c r="AA2264" s="4"/>
      <c r="AB2264" s="4"/>
      <c r="AC2264" s="4"/>
      <c r="AD2264" s="4"/>
      <c r="AE2264" s="4"/>
      <c r="AF2264" s="4"/>
      <c r="AG2264" s="4"/>
      <c r="AH2264" s="4"/>
      <c r="AI2264" s="4"/>
      <c r="AJ2264" s="4"/>
      <c r="AK2264" s="4"/>
      <c r="AL2264" s="4"/>
      <c r="AM2264" s="4"/>
      <c r="AN2264" s="4"/>
      <c r="AO2264" s="4"/>
      <c r="AP2264" s="4"/>
      <c r="AQ2264" s="4"/>
      <c r="AR2264" s="4"/>
      <c r="AS2264" s="4"/>
      <c r="AT2264" s="4"/>
      <c r="AU2264" s="4"/>
      <c r="AV2264" s="4"/>
    </row>
    <row r="2265" spans="4:48" x14ac:dyDescent="0.3">
      <c r="D2265" s="5"/>
      <c r="E2265" s="5"/>
      <c r="F2265" s="20"/>
      <c r="G2265" s="20"/>
      <c r="H2265" s="5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4"/>
      <c r="T2265" s="4"/>
      <c r="U2265" s="4"/>
      <c r="V2265" s="4"/>
      <c r="W2265" s="4"/>
      <c r="X2265" s="4"/>
      <c r="Y2265" s="4"/>
      <c r="Z2265" s="4"/>
      <c r="AA2265" s="4"/>
      <c r="AB2265" s="4"/>
      <c r="AC2265" s="4"/>
      <c r="AD2265" s="4"/>
      <c r="AE2265" s="4"/>
      <c r="AF2265" s="4"/>
      <c r="AG2265" s="4"/>
      <c r="AH2265" s="4"/>
      <c r="AI2265" s="4"/>
      <c r="AJ2265" s="4"/>
      <c r="AK2265" s="4"/>
      <c r="AL2265" s="4"/>
      <c r="AM2265" s="4"/>
      <c r="AN2265" s="4"/>
      <c r="AO2265" s="4"/>
      <c r="AP2265" s="4"/>
      <c r="AQ2265" s="4"/>
      <c r="AR2265" s="4"/>
      <c r="AS2265" s="4"/>
      <c r="AT2265" s="4"/>
      <c r="AU2265" s="4"/>
      <c r="AV2265" s="4"/>
    </row>
    <row r="2266" spans="4:48" x14ac:dyDescent="0.3">
      <c r="D2266" s="5"/>
      <c r="E2266" s="5"/>
      <c r="F2266" s="20"/>
      <c r="G2266" s="20"/>
      <c r="H2266" s="5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4"/>
      <c r="T2266" s="4"/>
      <c r="U2266" s="4"/>
      <c r="V2266" s="4"/>
      <c r="W2266" s="4"/>
      <c r="X2266" s="4"/>
      <c r="Y2266" s="4"/>
      <c r="Z2266" s="4"/>
      <c r="AA2266" s="4"/>
      <c r="AB2266" s="4"/>
      <c r="AC2266" s="4"/>
      <c r="AD2266" s="4"/>
      <c r="AE2266" s="4"/>
      <c r="AF2266" s="4"/>
      <c r="AG2266" s="4"/>
      <c r="AH2266" s="4"/>
      <c r="AI2266" s="4"/>
      <c r="AJ2266" s="4"/>
      <c r="AK2266" s="4"/>
      <c r="AL2266" s="4"/>
      <c r="AM2266" s="4"/>
      <c r="AN2266" s="4"/>
      <c r="AO2266" s="4"/>
      <c r="AP2266" s="4"/>
      <c r="AQ2266" s="4"/>
      <c r="AR2266" s="4"/>
      <c r="AS2266" s="4"/>
      <c r="AT2266" s="4"/>
      <c r="AU2266" s="4"/>
      <c r="AV2266" s="4"/>
    </row>
    <row r="2267" spans="4:48" x14ac:dyDescent="0.3">
      <c r="D2267" s="5"/>
      <c r="E2267" s="5"/>
      <c r="F2267" s="20"/>
      <c r="G2267" s="20"/>
      <c r="H2267" s="5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4"/>
      <c r="T2267" s="4"/>
      <c r="U2267" s="4"/>
      <c r="V2267" s="4"/>
      <c r="W2267" s="4"/>
      <c r="X2267" s="4"/>
      <c r="Y2267" s="4"/>
      <c r="Z2267" s="4"/>
      <c r="AA2267" s="4"/>
      <c r="AB2267" s="4"/>
      <c r="AC2267" s="4"/>
      <c r="AD2267" s="4"/>
      <c r="AE2267" s="4"/>
      <c r="AF2267" s="4"/>
      <c r="AG2267" s="4"/>
      <c r="AH2267" s="4"/>
      <c r="AI2267" s="4"/>
      <c r="AJ2267" s="4"/>
      <c r="AK2267" s="4"/>
      <c r="AL2267" s="4"/>
      <c r="AM2267" s="4"/>
      <c r="AN2267" s="4"/>
      <c r="AO2267" s="4"/>
      <c r="AP2267" s="4"/>
      <c r="AQ2267" s="4"/>
      <c r="AR2267" s="4"/>
      <c r="AS2267" s="4"/>
      <c r="AT2267" s="4"/>
      <c r="AU2267" s="4"/>
      <c r="AV2267" s="4"/>
    </row>
    <row r="2268" spans="4:48" x14ac:dyDescent="0.3">
      <c r="D2268" s="5"/>
      <c r="E2268" s="5"/>
      <c r="F2268" s="20"/>
      <c r="G2268" s="20"/>
      <c r="H2268" s="5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4"/>
      <c r="T2268" s="4"/>
      <c r="U2268" s="4"/>
      <c r="V2268" s="4"/>
      <c r="W2268" s="4"/>
      <c r="X2268" s="4"/>
      <c r="Y2268" s="4"/>
      <c r="Z2268" s="4"/>
      <c r="AA2268" s="4"/>
      <c r="AB2268" s="4"/>
      <c r="AC2268" s="4"/>
      <c r="AD2268" s="4"/>
      <c r="AE2268" s="4"/>
      <c r="AF2268" s="4"/>
      <c r="AG2268" s="4"/>
      <c r="AH2268" s="4"/>
      <c r="AI2268" s="4"/>
      <c r="AJ2268" s="4"/>
      <c r="AK2268" s="4"/>
      <c r="AL2268" s="4"/>
      <c r="AM2268" s="4"/>
      <c r="AN2268" s="4"/>
      <c r="AO2268" s="4"/>
      <c r="AP2268" s="4"/>
      <c r="AQ2268" s="4"/>
      <c r="AR2268" s="4"/>
      <c r="AS2268" s="4"/>
      <c r="AT2268" s="4"/>
      <c r="AU2268" s="4"/>
      <c r="AV2268" s="4"/>
    </row>
    <row r="2269" spans="4:48" x14ac:dyDescent="0.3">
      <c r="D2269" s="5"/>
      <c r="E2269" s="5"/>
      <c r="F2269" s="20"/>
      <c r="G2269" s="20"/>
      <c r="H2269" s="5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4"/>
      <c r="T2269" s="4"/>
      <c r="U2269" s="4"/>
      <c r="V2269" s="4"/>
      <c r="W2269" s="4"/>
      <c r="X2269" s="4"/>
      <c r="Y2269" s="4"/>
      <c r="Z2269" s="4"/>
      <c r="AA2269" s="4"/>
      <c r="AB2269" s="4"/>
      <c r="AC2269" s="4"/>
      <c r="AD2269" s="4"/>
      <c r="AE2269" s="4"/>
      <c r="AF2269" s="4"/>
      <c r="AG2269" s="4"/>
      <c r="AH2269" s="4"/>
      <c r="AI2269" s="4"/>
      <c r="AJ2269" s="4"/>
      <c r="AK2269" s="4"/>
      <c r="AL2269" s="4"/>
      <c r="AM2269" s="4"/>
      <c r="AN2269" s="4"/>
      <c r="AO2269" s="4"/>
      <c r="AP2269" s="4"/>
      <c r="AQ2269" s="4"/>
      <c r="AR2269" s="4"/>
      <c r="AS2269" s="4"/>
      <c r="AT2269" s="4"/>
      <c r="AU2269" s="4"/>
      <c r="AV2269" s="4"/>
    </row>
    <row r="2270" spans="4:48" x14ac:dyDescent="0.3">
      <c r="D2270" s="5"/>
      <c r="E2270" s="5"/>
      <c r="F2270" s="20"/>
      <c r="G2270" s="20"/>
      <c r="H2270" s="5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4"/>
      <c r="T2270" s="4"/>
      <c r="U2270" s="4"/>
      <c r="V2270" s="4"/>
      <c r="W2270" s="4"/>
      <c r="X2270" s="4"/>
      <c r="Y2270" s="4"/>
      <c r="Z2270" s="4"/>
      <c r="AA2270" s="4"/>
      <c r="AB2270" s="4"/>
      <c r="AC2270" s="4"/>
      <c r="AD2270" s="4"/>
      <c r="AE2270" s="4"/>
      <c r="AF2270" s="4"/>
      <c r="AG2270" s="4"/>
      <c r="AH2270" s="4"/>
      <c r="AI2270" s="4"/>
      <c r="AJ2270" s="4"/>
      <c r="AK2270" s="4"/>
      <c r="AL2270" s="4"/>
      <c r="AM2270" s="4"/>
      <c r="AN2270" s="4"/>
      <c r="AO2270" s="4"/>
      <c r="AP2270" s="4"/>
      <c r="AQ2270" s="4"/>
      <c r="AR2270" s="4"/>
      <c r="AS2270" s="4"/>
      <c r="AT2270" s="4"/>
      <c r="AU2270" s="4"/>
      <c r="AV2270" s="4"/>
    </row>
    <row r="2271" spans="4:48" x14ac:dyDescent="0.3">
      <c r="D2271" s="5"/>
      <c r="E2271" s="5"/>
      <c r="F2271" s="20"/>
      <c r="G2271" s="20"/>
      <c r="H2271" s="5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4"/>
      <c r="T2271" s="4"/>
      <c r="U2271" s="4"/>
      <c r="V2271" s="4"/>
      <c r="W2271" s="4"/>
      <c r="X2271" s="4"/>
      <c r="Y2271" s="4"/>
      <c r="Z2271" s="4"/>
      <c r="AA2271" s="4"/>
      <c r="AB2271" s="4"/>
      <c r="AC2271" s="4"/>
      <c r="AD2271" s="4"/>
      <c r="AE2271" s="4"/>
      <c r="AF2271" s="4"/>
      <c r="AG2271" s="4"/>
      <c r="AH2271" s="4"/>
      <c r="AI2271" s="4"/>
      <c r="AJ2271" s="4"/>
      <c r="AK2271" s="4"/>
      <c r="AL2271" s="4"/>
      <c r="AM2271" s="4"/>
      <c r="AN2271" s="4"/>
      <c r="AO2271" s="4"/>
      <c r="AP2271" s="4"/>
      <c r="AQ2271" s="4"/>
      <c r="AR2271" s="4"/>
      <c r="AS2271" s="4"/>
      <c r="AT2271" s="4"/>
      <c r="AU2271" s="4"/>
      <c r="AV2271" s="4"/>
    </row>
    <row r="2272" spans="4:48" x14ac:dyDescent="0.3">
      <c r="D2272" s="5"/>
      <c r="E2272" s="5"/>
      <c r="F2272" s="20"/>
      <c r="G2272" s="20"/>
      <c r="H2272" s="5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4"/>
      <c r="T2272" s="4"/>
      <c r="U2272" s="4"/>
      <c r="V2272" s="4"/>
      <c r="W2272" s="4"/>
      <c r="X2272" s="4"/>
      <c r="Y2272" s="4"/>
      <c r="Z2272" s="4"/>
      <c r="AA2272" s="4"/>
      <c r="AB2272" s="4"/>
      <c r="AC2272" s="4"/>
      <c r="AD2272" s="4"/>
      <c r="AE2272" s="4"/>
      <c r="AF2272" s="4"/>
      <c r="AG2272" s="4"/>
      <c r="AH2272" s="4"/>
      <c r="AI2272" s="4"/>
      <c r="AJ2272" s="4"/>
      <c r="AK2272" s="4"/>
      <c r="AL2272" s="4"/>
      <c r="AM2272" s="4"/>
      <c r="AN2272" s="4"/>
      <c r="AO2272" s="4"/>
      <c r="AP2272" s="4"/>
      <c r="AQ2272" s="4"/>
      <c r="AR2272" s="4"/>
      <c r="AS2272" s="4"/>
      <c r="AT2272" s="4"/>
      <c r="AU2272" s="4"/>
      <c r="AV2272" s="4"/>
    </row>
    <row r="2273" spans="4:48" x14ac:dyDescent="0.3">
      <c r="D2273" s="5"/>
      <c r="E2273" s="5"/>
      <c r="F2273" s="20"/>
      <c r="G2273" s="20"/>
      <c r="H2273" s="5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4"/>
      <c r="T2273" s="4"/>
      <c r="U2273" s="4"/>
      <c r="V2273" s="4"/>
      <c r="W2273" s="4"/>
      <c r="X2273" s="4"/>
      <c r="Y2273" s="4"/>
      <c r="Z2273" s="4"/>
      <c r="AA2273" s="4"/>
      <c r="AB2273" s="4"/>
      <c r="AC2273" s="4"/>
      <c r="AD2273" s="4"/>
      <c r="AE2273" s="4"/>
      <c r="AF2273" s="4"/>
      <c r="AG2273" s="4"/>
      <c r="AH2273" s="4"/>
      <c r="AI2273" s="4"/>
      <c r="AJ2273" s="4"/>
      <c r="AK2273" s="4"/>
      <c r="AL2273" s="4"/>
      <c r="AM2273" s="4"/>
      <c r="AN2273" s="4"/>
      <c r="AO2273" s="4"/>
      <c r="AP2273" s="4"/>
      <c r="AQ2273" s="4"/>
      <c r="AR2273" s="4"/>
      <c r="AS2273" s="4"/>
      <c r="AT2273" s="4"/>
      <c r="AU2273" s="4"/>
      <c r="AV2273" s="4"/>
    </row>
    <row r="2274" spans="4:48" x14ac:dyDescent="0.3">
      <c r="D2274" s="5"/>
      <c r="E2274" s="5"/>
      <c r="F2274" s="20"/>
      <c r="G2274" s="20"/>
      <c r="H2274" s="5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4"/>
      <c r="T2274" s="4"/>
      <c r="U2274" s="4"/>
      <c r="V2274" s="4"/>
      <c r="W2274" s="4"/>
      <c r="X2274" s="4"/>
      <c r="Y2274" s="4"/>
      <c r="Z2274" s="4"/>
      <c r="AA2274" s="4"/>
      <c r="AB2274" s="4"/>
      <c r="AC2274" s="4"/>
      <c r="AD2274" s="4"/>
      <c r="AE2274" s="4"/>
      <c r="AF2274" s="4"/>
      <c r="AG2274" s="4"/>
      <c r="AH2274" s="4"/>
      <c r="AI2274" s="4"/>
      <c r="AJ2274" s="4"/>
      <c r="AK2274" s="4"/>
      <c r="AL2274" s="4"/>
      <c r="AM2274" s="4"/>
      <c r="AN2274" s="4"/>
      <c r="AO2274" s="4"/>
      <c r="AP2274" s="4"/>
      <c r="AQ2274" s="4"/>
      <c r="AR2274" s="4"/>
      <c r="AS2274" s="4"/>
      <c r="AT2274" s="4"/>
      <c r="AU2274" s="4"/>
      <c r="AV2274" s="4"/>
    </row>
    <row r="2275" spans="4:48" x14ac:dyDescent="0.3">
      <c r="D2275" s="5"/>
      <c r="E2275" s="5"/>
      <c r="F2275" s="20"/>
      <c r="G2275" s="20"/>
      <c r="H2275" s="5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4"/>
      <c r="T2275" s="4"/>
      <c r="U2275" s="4"/>
      <c r="V2275" s="4"/>
      <c r="W2275" s="4"/>
      <c r="X2275" s="4"/>
      <c r="Y2275" s="4"/>
      <c r="Z2275" s="4"/>
      <c r="AA2275" s="4"/>
      <c r="AB2275" s="4"/>
      <c r="AC2275" s="4"/>
      <c r="AD2275" s="4"/>
      <c r="AE2275" s="4"/>
      <c r="AF2275" s="4"/>
      <c r="AG2275" s="4"/>
      <c r="AH2275" s="4"/>
      <c r="AI2275" s="4"/>
      <c r="AJ2275" s="4"/>
      <c r="AK2275" s="4"/>
      <c r="AL2275" s="4"/>
      <c r="AM2275" s="4"/>
      <c r="AN2275" s="4"/>
      <c r="AO2275" s="4"/>
      <c r="AP2275" s="4"/>
      <c r="AQ2275" s="4"/>
      <c r="AR2275" s="4"/>
      <c r="AS2275" s="4"/>
      <c r="AT2275" s="4"/>
      <c r="AU2275" s="4"/>
      <c r="AV2275" s="4"/>
    </row>
    <row r="2276" spans="4:48" x14ac:dyDescent="0.3">
      <c r="D2276" s="5"/>
      <c r="E2276" s="5"/>
      <c r="F2276" s="20"/>
      <c r="G2276" s="20"/>
      <c r="H2276" s="5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4"/>
      <c r="T2276" s="4"/>
      <c r="U2276" s="4"/>
      <c r="V2276" s="4"/>
      <c r="W2276" s="4"/>
      <c r="X2276" s="4"/>
      <c r="Y2276" s="4"/>
      <c r="Z2276" s="4"/>
      <c r="AA2276" s="4"/>
      <c r="AB2276" s="4"/>
      <c r="AC2276" s="4"/>
      <c r="AD2276" s="4"/>
      <c r="AE2276" s="4"/>
      <c r="AF2276" s="4"/>
      <c r="AG2276" s="4"/>
      <c r="AH2276" s="4"/>
      <c r="AI2276" s="4"/>
      <c r="AJ2276" s="4"/>
      <c r="AK2276" s="4"/>
      <c r="AL2276" s="4"/>
      <c r="AM2276" s="4"/>
      <c r="AN2276" s="4"/>
      <c r="AO2276" s="4"/>
      <c r="AP2276" s="4"/>
      <c r="AQ2276" s="4"/>
      <c r="AR2276" s="4"/>
      <c r="AS2276" s="4"/>
      <c r="AT2276" s="4"/>
      <c r="AU2276" s="4"/>
      <c r="AV2276" s="4"/>
    </row>
    <row r="2277" spans="4:48" x14ac:dyDescent="0.3">
      <c r="D2277" s="5"/>
      <c r="E2277" s="5"/>
      <c r="F2277" s="20"/>
      <c r="G2277" s="20"/>
      <c r="H2277" s="5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4"/>
      <c r="T2277" s="4"/>
      <c r="U2277" s="4"/>
      <c r="V2277" s="4"/>
      <c r="W2277" s="4"/>
      <c r="X2277" s="4"/>
      <c r="Y2277" s="4"/>
      <c r="Z2277" s="4"/>
      <c r="AA2277" s="4"/>
      <c r="AB2277" s="4"/>
      <c r="AC2277" s="4"/>
      <c r="AD2277" s="4"/>
      <c r="AE2277" s="4"/>
      <c r="AF2277" s="4"/>
      <c r="AG2277" s="4"/>
      <c r="AH2277" s="4"/>
      <c r="AI2277" s="4"/>
      <c r="AJ2277" s="4"/>
      <c r="AK2277" s="4"/>
      <c r="AL2277" s="4"/>
      <c r="AM2277" s="4"/>
      <c r="AN2277" s="4"/>
      <c r="AO2277" s="4"/>
      <c r="AP2277" s="4"/>
      <c r="AQ2277" s="4"/>
      <c r="AR2277" s="4"/>
      <c r="AS2277" s="4"/>
      <c r="AT2277" s="4"/>
      <c r="AU2277" s="4"/>
      <c r="AV2277" s="4"/>
    </row>
    <row r="2278" spans="4:48" x14ac:dyDescent="0.3">
      <c r="D2278" s="5"/>
      <c r="E2278" s="5"/>
      <c r="F2278" s="20"/>
      <c r="G2278" s="20"/>
      <c r="H2278" s="5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4"/>
      <c r="T2278" s="4"/>
      <c r="U2278" s="4"/>
      <c r="V2278" s="4"/>
      <c r="W2278" s="4"/>
      <c r="X2278" s="4"/>
      <c r="Y2278" s="4"/>
      <c r="Z2278" s="4"/>
      <c r="AA2278" s="4"/>
      <c r="AB2278" s="4"/>
      <c r="AC2278" s="4"/>
      <c r="AD2278" s="4"/>
      <c r="AE2278" s="4"/>
      <c r="AF2278" s="4"/>
      <c r="AG2278" s="4"/>
      <c r="AH2278" s="4"/>
      <c r="AI2278" s="4"/>
      <c r="AJ2278" s="4"/>
      <c r="AK2278" s="4"/>
      <c r="AL2278" s="4"/>
      <c r="AM2278" s="4"/>
      <c r="AN2278" s="4"/>
      <c r="AO2278" s="4"/>
      <c r="AP2278" s="4"/>
      <c r="AQ2278" s="4"/>
      <c r="AR2278" s="4"/>
      <c r="AS2278" s="4"/>
      <c r="AT2278" s="4"/>
      <c r="AU2278" s="4"/>
      <c r="AV2278" s="4"/>
    </row>
    <row r="2279" spans="4:48" x14ac:dyDescent="0.3">
      <c r="D2279" s="5"/>
      <c r="E2279" s="5"/>
      <c r="F2279" s="20"/>
      <c r="G2279" s="20"/>
      <c r="H2279" s="5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4"/>
      <c r="T2279" s="4"/>
      <c r="U2279" s="4"/>
      <c r="V2279" s="4"/>
      <c r="W2279" s="4"/>
      <c r="X2279" s="4"/>
      <c r="Y2279" s="4"/>
      <c r="Z2279" s="4"/>
      <c r="AA2279" s="4"/>
      <c r="AB2279" s="4"/>
      <c r="AC2279" s="4"/>
      <c r="AD2279" s="4"/>
      <c r="AE2279" s="4"/>
      <c r="AF2279" s="4"/>
      <c r="AG2279" s="4"/>
      <c r="AH2279" s="4"/>
      <c r="AI2279" s="4"/>
      <c r="AJ2279" s="4"/>
      <c r="AK2279" s="4"/>
      <c r="AL2279" s="4"/>
      <c r="AM2279" s="4"/>
      <c r="AN2279" s="4"/>
      <c r="AO2279" s="4"/>
      <c r="AP2279" s="4"/>
      <c r="AQ2279" s="4"/>
      <c r="AR2279" s="4"/>
      <c r="AS2279" s="4"/>
      <c r="AT2279" s="4"/>
      <c r="AU2279" s="4"/>
      <c r="AV2279" s="4"/>
    </row>
    <row r="2280" spans="4:48" x14ac:dyDescent="0.3">
      <c r="D2280" s="5"/>
      <c r="E2280" s="5"/>
      <c r="F2280" s="20"/>
      <c r="G2280" s="20"/>
      <c r="H2280" s="5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4"/>
      <c r="T2280" s="4"/>
      <c r="U2280" s="4"/>
      <c r="V2280" s="4"/>
      <c r="W2280" s="4"/>
      <c r="X2280" s="4"/>
      <c r="Y2280" s="4"/>
      <c r="Z2280" s="4"/>
      <c r="AA2280" s="4"/>
      <c r="AB2280" s="4"/>
      <c r="AC2280" s="4"/>
      <c r="AD2280" s="4"/>
      <c r="AE2280" s="4"/>
      <c r="AF2280" s="4"/>
      <c r="AG2280" s="4"/>
      <c r="AH2280" s="4"/>
      <c r="AI2280" s="4"/>
      <c r="AJ2280" s="4"/>
      <c r="AK2280" s="4"/>
      <c r="AL2280" s="4"/>
      <c r="AM2280" s="4"/>
      <c r="AN2280" s="4"/>
      <c r="AO2280" s="4"/>
      <c r="AP2280" s="4"/>
      <c r="AQ2280" s="4"/>
      <c r="AR2280" s="4"/>
      <c r="AS2280" s="4"/>
      <c r="AT2280" s="4"/>
      <c r="AU2280" s="4"/>
      <c r="AV2280" s="4"/>
    </row>
    <row r="2281" spans="4:48" x14ac:dyDescent="0.3">
      <c r="D2281" s="5"/>
      <c r="E2281" s="5"/>
      <c r="F2281" s="20"/>
      <c r="G2281" s="20"/>
      <c r="H2281" s="5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4"/>
      <c r="T2281" s="4"/>
      <c r="U2281" s="4"/>
      <c r="V2281" s="4"/>
      <c r="W2281" s="4"/>
      <c r="X2281" s="4"/>
      <c r="Y2281" s="4"/>
      <c r="Z2281" s="4"/>
      <c r="AA2281" s="4"/>
      <c r="AB2281" s="4"/>
      <c r="AC2281" s="4"/>
      <c r="AD2281" s="4"/>
      <c r="AE2281" s="4"/>
      <c r="AF2281" s="4"/>
      <c r="AG2281" s="4"/>
      <c r="AH2281" s="4"/>
      <c r="AI2281" s="4"/>
      <c r="AJ2281" s="4"/>
      <c r="AK2281" s="4"/>
      <c r="AL2281" s="4"/>
      <c r="AM2281" s="4"/>
      <c r="AN2281" s="4"/>
      <c r="AO2281" s="4"/>
      <c r="AP2281" s="4"/>
      <c r="AQ2281" s="4"/>
      <c r="AR2281" s="4"/>
      <c r="AS2281" s="4"/>
      <c r="AT2281" s="4"/>
      <c r="AU2281" s="4"/>
      <c r="AV2281" s="4"/>
    </row>
    <row r="2282" spans="4:48" x14ac:dyDescent="0.3">
      <c r="D2282" s="5"/>
      <c r="E2282" s="5"/>
      <c r="F2282" s="20"/>
      <c r="G2282" s="20"/>
      <c r="H2282" s="5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4"/>
      <c r="T2282" s="4"/>
      <c r="U2282" s="4"/>
      <c r="V2282" s="4"/>
      <c r="W2282" s="4"/>
      <c r="X2282" s="4"/>
      <c r="Y2282" s="4"/>
      <c r="Z2282" s="4"/>
      <c r="AA2282" s="4"/>
      <c r="AB2282" s="4"/>
      <c r="AC2282" s="4"/>
      <c r="AD2282" s="4"/>
      <c r="AE2282" s="4"/>
      <c r="AF2282" s="4"/>
      <c r="AG2282" s="4"/>
      <c r="AH2282" s="4"/>
      <c r="AI2282" s="4"/>
      <c r="AJ2282" s="4"/>
      <c r="AK2282" s="4"/>
      <c r="AL2282" s="4"/>
      <c r="AM2282" s="4"/>
      <c r="AN2282" s="4"/>
      <c r="AO2282" s="4"/>
      <c r="AP2282" s="4"/>
      <c r="AQ2282" s="4"/>
      <c r="AR2282" s="4"/>
      <c r="AS2282" s="4"/>
      <c r="AT2282" s="4"/>
      <c r="AU2282" s="4"/>
      <c r="AV2282" s="4"/>
    </row>
    <row r="2283" spans="4:48" x14ac:dyDescent="0.3">
      <c r="D2283" s="5"/>
      <c r="E2283" s="5"/>
      <c r="F2283" s="20"/>
      <c r="G2283" s="20"/>
      <c r="H2283" s="5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4"/>
      <c r="T2283" s="4"/>
      <c r="U2283" s="4"/>
      <c r="V2283" s="4"/>
      <c r="W2283" s="4"/>
      <c r="X2283" s="4"/>
      <c r="Y2283" s="4"/>
      <c r="Z2283" s="4"/>
      <c r="AA2283" s="4"/>
      <c r="AB2283" s="4"/>
      <c r="AC2283" s="4"/>
      <c r="AD2283" s="4"/>
      <c r="AE2283" s="4"/>
      <c r="AF2283" s="4"/>
      <c r="AG2283" s="4"/>
      <c r="AH2283" s="4"/>
      <c r="AI2283" s="4"/>
      <c r="AJ2283" s="4"/>
      <c r="AK2283" s="4"/>
      <c r="AL2283" s="4"/>
      <c r="AM2283" s="4"/>
      <c r="AN2283" s="4"/>
      <c r="AO2283" s="4"/>
      <c r="AP2283" s="4"/>
      <c r="AQ2283" s="4"/>
      <c r="AR2283" s="4"/>
      <c r="AS2283" s="4"/>
      <c r="AT2283" s="4"/>
      <c r="AU2283" s="4"/>
      <c r="AV2283" s="4"/>
    </row>
    <row r="2284" spans="4:48" x14ac:dyDescent="0.3">
      <c r="D2284" s="5"/>
      <c r="E2284" s="5"/>
      <c r="F2284" s="20"/>
      <c r="G2284" s="20"/>
      <c r="H2284" s="5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4"/>
      <c r="T2284" s="4"/>
      <c r="U2284" s="4"/>
      <c r="V2284" s="4"/>
      <c r="W2284" s="4"/>
      <c r="X2284" s="4"/>
      <c r="Y2284" s="4"/>
      <c r="Z2284" s="4"/>
      <c r="AA2284" s="4"/>
      <c r="AB2284" s="4"/>
      <c r="AC2284" s="4"/>
      <c r="AD2284" s="4"/>
      <c r="AE2284" s="4"/>
      <c r="AF2284" s="4"/>
      <c r="AG2284" s="4"/>
      <c r="AH2284" s="4"/>
      <c r="AI2284" s="4"/>
      <c r="AJ2284" s="4"/>
      <c r="AK2284" s="4"/>
      <c r="AL2284" s="4"/>
      <c r="AM2284" s="4"/>
      <c r="AN2284" s="4"/>
      <c r="AO2284" s="4"/>
      <c r="AP2284" s="4"/>
      <c r="AQ2284" s="4"/>
      <c r="AR2284" s="4"/>
      <c r="AS2284" s="4"/>
      <c r="AT2284" s="4"/>
      <c r="AU2284" s="4"/>
      <c r="AV2284" s="4"/>
    </row>
    <row r="2285" spans="4:48" x14ac:dyDescent="0.3">
      <c r="D2285" s="5"/>
      <c r="E2285" s="5"/>
      <c r="F2285" s="20"/>
      <c r="G2285" s="20"/>
      <c r="H2285" s="5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4"/>
      <c r="T2285" s="4"/>
      <c r="U2285" s="4"/>
      <c r="V2285" s="4"/>
      <c r="W2285" s="4"/>
      <c r="X2285" s="4"/>
      <c r="Y2285" s="4"/>
      <c r="Z2285" s="4"/>
      <c r="AA2285" s="4"/>
      <c r="AB2285" s="4"/>
      <c r="AC2285" s="4"/>
      <c r="AD2285" s="4"/>
      <c r="AE2285" s="4"/>
      <c r="AF2285" s="4"/>
      <c r="AG2285" s="4"/>
      <c r="AH2285" s="4"/>
      <c r="AI2285" s="4"/>
      <c r="AJ2285" s="4"/>
      <c r="AK2285" s="4"/>
      <c r="AL2285" s="4"/>
      <c r="AM2285" s="4"/>
      <c r="AN2285" s="4"/>
      <c r="AO2285" s="4"/>
      <c r="AP2285" s="4"/>
      <c r="AQ2285" s="4"/>
      <c r="AR2285" s="4"/>
      <c r="AS2285" s="4"/>
      <c r="AT2285" s="4"/>
      <c r="AU2285" s="4"/>
      <c r="AV2285" s="4"/>
    </row>
    <row r="2286" spans="4:48" x14ac:dyDescent="0.3">
      <c r="D2286" s="5"/>
      <c r="E2286" s="5"/>
      <c r="F2286" s="20"/>
      <c r="G2286" s="20"/>
      <c r="H2286" s="5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4"/>
      <c r="T2286" s="4"/>
      <c r="U2286" s="4"/>
      <c r="V2286" s="4"/>
      <c r="W2286" s="4"/>
      <c r="X2286" s="4"/>
      <c r="Y2286" s="4"/>
      <c r="Z2286" s="4"/>
      <c r="AA2286" s="4"/>
      <c r="AB2286" s="4"/>
      <c r="AC2286" s="4"/>
      <c r="AD2286" s="4"/>
      <c r="AE2286" s="4"/>
      <c r="AF2286" s="4"/>
      <c r="AG2286" s="4"/>
      <c r="AH2286" s="4"/>
      <c r="AI2286" s="4"/>
      <c r="AJ2286" s="4"/>
      <c r="AK2286" s="4"/>
      <c r="AL2286" s="4"/>
      <c r="AM2286" s="4"/>
      <c r="AN2286" s="4"/>
      <c r="AO2286" s="4"/>
      <c r="AP2286" s="4"/>
      <c r="AQ2286" s="4"/>
      <c r="AR2286" s="4"/>
      <c r="AS2286" s="4"/>
      <c r="AT2286" s="4"/>
      <c r="AU2286" s="4"/>
      <c r="AV2286" s="4"/>
    </row>
    <row r="2287" spans="4:48" x14ac:dyDescent="0.3">
      <c r="D2287" s="5"/>
      <c r="E2287" s="5"/>
      <c r="F2287" s="20"/>
      <c r="G2287" s="20"/>
      <c r="H2287" s="5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4"/>
      <c r="T2287" s="4"/>
      <c r="U2287" s="4"/>
      <c r="V2287" s="4"/>
      <c r="W2287" s="4"/>
      <c r="X2287" s="4"/>
      <c r="Y2287" s="4"/>
      <c r="Z2287" s="4"/>
      <c r="AA2287" s="4"/>
      <c r="AB2287" s="4"/>
      <c r="AC2287" s="4"/>
      <c r="AD2287" s="4"/>
      <c r="AE2287" s="4"/>
      <c r="AF2287" s="4"/>
      <c r="AG2287" s="4"/>
      <c r="AH2287" s="4"/>
      <c r="AI2287" s="4"/>
      <c r="AJ2287" s="4"/>
      <c r="AK2287" s="4"/>
      <c r="AL2287" s="4"/>
      <c r="AM2287" s="4"/>
      <c r="AN2287" s="4"/>
      <c r="AO2287" s="4"/>
      <c r="AP2287" s="4"/>
      <c r="AQ2287" s="4"/>
      <c r="AR2287" s="4"/>
      <c r="AS2287" s="4"/>
      <c r="AT2287" s="4"/>
      <c r="AU2287" s="4"/>
      <c r="AV2287" s="4"/>
    </row>
    <row r="2288" spans="4:48" x14ac:dyDescent="0.3">
      <c r="D2288" s="5"/>
      <c r="E2288" s="5"/>
      <c r="F2288" s="20"/>
      <c r="G2288" s="20"/>
      <c r="H2288" s="5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4"/>
      <c r="T2288" s="4"/>
      <c r="U2288" s="4"/>
      <c r="V2288" s="4"/>
      <c r="W2288" s="4"/>
      <c r="X2288" s="4"/>
      <c r="Y2288" s="4"/>
      <c r="Z2288" s="4"/>
      <c r="AA2288" s="4"/>
      <c r="AB2288" s="4"/>
      <c r="AC2288" s="4"/>
      <c r="AD2288" s="4"/>
      <c r="AE2288" s="4"/>
      <c r="AF2288" s="4"/>
      <c r="AG2288" s="4"/>
      <c r="AH2288" s="4"/>
      <c r="AI2288" s="4"/>
      <c r="AJ2288" s="4"/>
      <c r="AK2288" s="4"/>
      <c r="AL2288" s="4"/>
      <c r="AM2288" s="4"/>
      <c r="AN2288" s="4"/>
      <c r="AO2288" s="4"/>
      <c r="AP2288" s="4"/>
      <c r="AQ2288" s="4"/>
      <c r="AR2288" s="4"/>
      <c r="AS2288" s="4"/>
      <c r="AT2288" s="4"/>
      <c r="AU2288" s="4"/>
      <c r="AV2288" s="4"/>
    </row>
    <row r="2289" spans="4:48" x14ac:dyDescent="0.3">
      <c r="D2289" s="5"/>
      <c r="E2289" s="5"/>
      <c r="F2289" s="20"/>
      <c r="G2289" s="20"/>
      <c r="H2289" s="5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4"/>
      <c r="T2289" s="4"/>
      <c r="U2289" s="4"/>
      <c r="V2289" s="4"/>
      <c r="W2289" s="4"/>
      <c r="X2289" s="4"/>
      <c r="Y2289" s="4"/>
      <c r="Z2289" s="4"/>
      <c r="AA2289" s="4"/>
      <c r="AB2289" s="4"/>
      <c r="AC2289" s="4"/>
      <c r="AD2289" s="4"/>
      <c r="AE2289" s="4"/>
      <c r="AF2289" s="4"/>
      <c r="AG2289" s="4"/>
      <c r="AH2289" s="4"/>
      <c r="AI2289" s="4"/>
      <c r="AJ2289" s="4"/>
      <c r="AK2289" s="4"/>
      <c r="AL2289" s="4"/>
      <c r="AM2289" s="4"/>
      <c r="AN2289" s="4"/>
      <c r="AO2289" s="4"/>
      <c r="AP2289" s="4"/>
      <c r="AQ2289" s="4"/>
      <c r="AR2289" s="4"/>
      <c r="AS2289" s="4"/>
      <c r="AT2289" s="4"/>
      <c r="AU2289" s="4"/>
      <c r="AV2289" s="4"/>
    </row>
    <row r="2290" spans="4:48" x14ac:dyDescent="0.3">
      <c r="D2290" s="5"/>
      <c r="E2290" s="5"/>
      <c r="F2290" s="20"/>
      <c r="G2290" s="20"/>
      <c r="H2290" s="5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4"/>
      <c r="T2290" s="4"/>
      <c r="U2290" s="4"/>
      <c r="V2290" s="4"/>
      <c r="W2290" s="4"/>
      <c r="X2290" s="4"/>
      <c r="Y2290" s="4"/>
      <c r="Z2290" s="4"/>
      <c r="AA2290" s="4"/>
      <c r="AB2290" s="4"/>
      <c r="AC2290" s="4"/>
      <c r="AD2290" s="4"/>
      <c r="AE2290" s="4"/>
      <c r="AF2290" s="4"/>
      <c r="AG2290" s="4"/>
      <c r="AH2290" s="4"/>
      <c r="AI2290" s="4"/>
      <c r="AJ2290" s="4"/>
      <c r="AK2290" s="4"/>
      <c r="AL2290" s="4"/>
      <c r="AM2290" s="4"/>
      <c r="AN2290" s="4"/>
      <c r="AO2290" s="4"/>
      <c r="AP2290" s="4"/>
      <c r="AQ2290" s="4"/>
      <c r="AR2290" s="4"/>
      <c r="AS2290" s="4"/>
      <c r="AT2290" s="4"/>
      <c r="AU2290" s="4"/>
      <c r="AV2290" s="4"/>
    </row>
    <row r="2291" spans="4:48" x14ac:dyDescent="0.3">
      <c r="D2291" s="5"/>
      <c r="E2291" s="5"/>
      <c r="F2291" s="20"/>
      <c r="G2291" s="20"/>
      <c r="H2291" s="5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4"/>
      <c r="T2291" s="4"/>
      <c r="U2291" s="4"/>
      <c r="V2291" s="4"/>
      <c r="W2291" s="4"/>
      <c r="X2291" s="4"/>
      <c r="Y2291" s="4"/>
      <c r="Z2291" s="4"/>
      <c r="AA2291" s="4"/>
      <c r="AB2291" s="4"/>
      <c r="AC2291" s="4"/>
      <c r="AD2291" s="4"/>
      <c r="AE2291" s="4"/>
      <c r="AF2291" s="4"/>
      <c r="AG2291" s="4"/>
      <c r="AH2291" s="4"/>
      <c r="AI2291" s="4"/>
      <c r="AJ2291" s="4"/>
      <c r="AK2291" s="4"/>
      <c r="AL2291" s="4"/>
      <c r="AM2291" s="4"/>
      <c r="AN2291" s="4"/>
      <c r="AO2291" s="4"/>
      <c r="AP2291" s="4"/>
      <c r="AQ2291" s="4"/>
      <c r="AR2291" s="4"/>
      <c r="AS2291" s="4"/>
      <c r="AT2291" s="4"/>
      <c r="AU2291" s="4"/>
      <c r="AV2291" s="4"/>
    </row>
    <row r="2292" spans="4:48" x14ac:dyDescent="0.3">
      <c r="D2292" s="5"/>
      <c r="E2292" s="5"/>
      <c r="F2292" s="20"/>
      <c r="G2292" s="20"/>
      <c r="H2292" s="5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4"/>
      <c r="T2292" s="4"/>
      <c r="U2292" s="4"/>
      <c r="V2292" s="4"/>
      <c r="W2292" s="4"/>
      <c r="X2292" s="4"/>
      <c r="Y2292" s="4"/>
      <c r="Z2292" s="4"/>
      <c r="AA2292" s="4"/>
      <c r="AB2292" s="4"/>
      <c r="AC2292" s="4"/>
      <c r="AD2292" s="4"/>
      <c r="AE2292" s="4"/>
      <c r="AF2292" s="4"/>
      <c r="AG2292" s="4"/>
      <c r="AH2292" s="4"/>
      <c r="AI2292" s="4"/>
      <c r="AJ2292" s="4"/>
      <c r="AK2292" s="4"/>
      <c r="AL2292" s="4"/>
      <c r="AM2292" s="4"/>
      <c r="AN2292" s="4"/>
      <c r="AO2292" s="4"/>
      <c r="AP2292" s="4"/>
      <c r="AQ2292" s="4"/>
      <c r="AR2292" s="4"/>
      <c r="AS2292" s="4"/>
      <c r="AT2292" s="4"/>
      <c r="AU2292" s="4"/>
      <c r="AV2292" s="4"/>
    </row>
    <row r="2293" spans="4:48" x14ac:dyDescent="0.3">
      <c r="D2293" s="5"/>
      <c r="E2293" s="5"/>
      <c r="F2293" s="20"/>
      <c r="G2293" s="20"/>
      <c r="H2293" s="5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4"/>
      <c r="T2293" s="4"/>
      <c r="U2293" s="4"/>
      <c r="V2293" s="4"/>
      <c r="W2293" s="4"/>
      <c r="X2293" s="4"/>
      <c r="Y2293" s="4"/>
      <c r="Z2293" s="4"/>
      <c r="AA2293" s="4"/>
      <c r="AB2293" s="4"/>
      <c r="AC2293" s="4"/>
      <c r="AD2293" s="4"/>
      <c r="AE2293" s="4"/>
      <c r="AF2293" s="4"/>
      <c r="AG2293" s="4"/>
      <c r="AH2293" s="4"/>
      <c r="AI2293" s="4"/>
      <c r="AJ2293" s="4"/>
      <c r="AK2293" s="4"/>
      <c r="AL2293" s="4"/>
      <c r="AM2293" s="4"/>
      <c r="AN2293" s="4"/>
      <c r="AO2293" s="4"/>
      <c r="AP2293" s="4"/>
      <c r="AQ2293" s="4"/>
      <c r="AR2293" s="4"/>
      <c r="AS2293" s="4"/>
      <c r="AT2293" s="4"/>
      <c r="AU2293" s="4"/>
      <c r="AV2293" s="4"/>
    </row>
    <row r="2294" spans="4:48" x14ac:dyDescent="0.3">
      <c r="D2294" s="5"/>
      <c r="E2294" s="5"/>
      <c r="F2294" s="20"/>
      <c r="G2294" s="20"/>
      <c r="H2294" s="5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4"/>
      <c r="T2294" s="4"/>
      <c r="U2294" s="4"/>
      <c r="V2294" s="4"/>
      <c r="W2294" s="4"/>
      <c r="X2294" s="4"/>
      <c r="Y2294" s="4"/>
      <c r="Z2294" s="4"/>
      <c r="AA2294" s="4"/>
      <c r="AB2294" s="4"/>
      <c r="AC2294" s="4"/>
      <c r="AD2294" s="4"/>
      <c r="AE2294" s="4"/>
      <c r="AF2294" s="4"/>
      <c r="AG2294" s="4"/>
      <c r="AH2294" s="4"/>
      <c r="AI2294" s="4"/>
      <c r="AJ2294" s="4"/>
      <c r="AK2294" s="4"/>
      <c r="AL2294" s="4"/>
      <c r="AM2294" s="4"/>
      <c r="AN2294" s="4"/>
      <c r="AO2294" s="4"/>
      <c r="AP2294" s="4"/>
      <c r="AQ2294" s="4"/>
      <c r="AR2294" s="4"/>
      <c r="AS2294" s="4"/>
      <c r="AT2294" s="4"/>
      <c r="AU2294" s="4"/>
      <c r="AV2294" s="4"/>
    </row>
    <row r="2295" spans="4:48" x14ac:dyDescent="0.3">
      <c r="D2295" s="5"/>
      <c r="E2295" s="5"/>
      <c r="F2295" s="20"/>
      <c r="G2295" s="20"/>
      <c r="H2295" s="5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4"/>
      <c r="T2295" s="4"/>
      <c r="U2295" s="4"/>
      <c r="V2295" s="4"/>
      <c r="W2295" s="4"/>
      <c r="X2295" s="4"/>
      <c r="Y2295" s="4"/>
      <c r="Z2295" s="4"/>
      <c r="AA2295" s="4"/>
      <c r="AB2295" s="4"/>
      <c r="AC2295" s="4"/>
      <c r="AD2295" s="4"/>
      <c r="AE2295" s="4"/>
      <c r="AF2295" s="4"/>
      <c r="AG2295" s="4"/>
      <c r="AH2295" s="4"/>
      <c r="AI2295" s="4"/>
      <c r="AJ2295" s="4"/>
      <c r="AK2295" s="4"/>
      <c r="AL2295" s="4"/>
      <c r="AM2295" s="4"/>
      <c r="AN2295" s="4"/>
      <c r="AO2295" s="4"/>
      <c r="AP2295" s="4"/>
      <c r="AQ2295" s="4"/>
      <c r="AR2295" s="4"/>
      <c r="AS2295" s="4"/>
      <c r="AT2295" s="4"/>
      <c r="AU2295" s="4"/>
      <c r="AV2295" s="4"/>
    </row>
    <row r="2296" spans="4:48" x14ac:dyDescent="0.3">
      <c r="D2296" s="5"/>
      <c r="E2296" s="5"/>
      <c r="F2296" s="20"/>
      <c r="G2296" s="20"/>
      <c r="H2296" s="5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4"/>
      <c r="T2296" s="4"/>
      <c r="U2296" s="4"/>
      <c r="V2296" s="4"/>
      <c r="W2296" s="4"/>
      <c r="X2296" s="4"/>
      <c r="Y2296" s="4"/>
      <c r="Z2296" s="4"/>
      <c r="AA2296" s="4"/>
      <c r="AB2296" s="4"/>
      <c r="AC2296" s="4"/>
      <c r="AD2296" s="4"/>
      <c r="AE2296" s="4"/>
      <c r="AF2296" s="4"/>
      <c r="AG2296" s="4"/>
      <c r="AH2296" s="4"/>
      <c r="AI2296" s="4"/>
      <c r="AJ2296" s="4"/>
      <c r="AK2296" s="4"/>
      <c r="AL2296" s="4"/>
      <c r="AM2296" s="4"/>
      <c r="AN2296" s="4"/>
      <c r="AO2296" s="4"/>
      <c r="AP2296" s="4"/>
      <c r="AQ2296" s="4"/>
      <c r="AR2296" s="4"/>
      <c r="AS2296" s="4"/>
      <c r="AT2296" s="4"/>
      <c r="AU2296" s="4"/>
      <c r="AV2296" s="4"/>
    </row>
    <row r="2297" spans="4:48" x14ac:dyDescent="0.3">
      <c r="D2297" s="5"/>
      <c r="E2297" s="5"/>
      <c r="F2297" s="20"/>
      <c r="G2297" s="20"/>
      <c r="H2297" s="5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4"/>
      <c r="T2297" s="4"/>
      <c r="U2297" s="4"/>
      <c r="V2297" s="4"/>
      <c r="W2297" s="4"/>
      <c r="X2297" s="4"/>
      <c r="Y2297" s="4"/>
      <c r="Z2297" s="4"/>
      <c r="AA2297" s="4"/>
      <c r="AB2297" s="4"/>
      <c r="AC2297" s="4"/>
      <c r="AD2297" s="4"/>
      <c r="AE2297" s="4"/>
      <c r="AF2297" s="4"/>
      <c r="AG2297" s="4"/>
      <c r="AH2297" s="4"/>
      <c r="AI2297" s="4"/>
      <c r="AJ2297" s="4"/>
      <c r="AK2297" s="4"/>
      <c r="AL2297" s="4"/>
      <c r="AM2297" s="4"/>
      <c r="AN2297" s="4"/>
      <c r="AO2297" s="4"/>
      <c r="AP2297" s="4"/>
      <c r="AQ2297" s="4"/>
      <c r="AR2297" s="4"/>
      <c r="AS2297" s="4"/>
      <c r="AT2297" s="4"/>
      <c r="AU2297" s="4"/>
      <c r="AV2297" s="4"/>
    </row>
    <row r="2298" spans="4:48" x14ac:dyDescent="0.3">
      <c r="D2298" s="5"/>
      <c r="E2298" s="5"/>
      <c r="F2298" s="20"/>
      <c r="G2298" s="20"/>
      <c r="H2298" s="5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4"/>
      <c r="T2298" s="4"/>
      <c r="U2298" s="4"/>
      <c r="V2298" s="4"/>
      <c r="W2298" s="4"/>
      <c r="X2298" s="4"/>
      <c r="Y2298" s="4"/>
      <c r="Z2298" s="4"/>
      <c r="AA2298" s="4"/>
      <c r="AB2298" s="4"/>
      <c r="AC2298" s="4"/>
      <c r="AD2298" s="4"/>
      <c r="AE2298" s="4"/>
      <c r="AF2298" s="4"/>
      <c r="AG2298" s="4"/>
      <c r="AH2298" s="4"/>
      <c r="AI2298" s="4"/>
      <c r="AJ2298" s="4"/>
      <c r="AK2298" s="4"/>
      <c r="AL2298" s="4"/>
      <c r="AM2298" s="4"/>
      <c r="AN2298" s="4"/>
      <c r="AO2298" s="4"/>
      <c r="AP2298" s="4"/>
      <c r="AQ2298" s="4"/>
      <c r="AR2298" s="4"/>
      <c r="AS2298" s="4"/>
      <c r="AT2298" s="4"/>
      <c r="AU2298" s="4"/>
      <c r="AV2298" s="4"/>
    </row>
    <row r="2299" spans="4:48" x14ac:dyDescent="0.3">
      <c r="D2299" s="5"/>
      <c r="E2299" s="5"/>
      <c r="F2299" s="20"/>
      <c r="G2299" s="20"/>
      <c r="H2299" s="5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4"/>
      <c r="T2299" s="4"/>
      <c r="U2299" s="4"/>
      <c r="V2299" s="4"/>
      <c r="W2299" s="4"/>
      <c r="X2299" s="4"/>
      <c r="Y2299" s="4"/>
      <c r="Z2299" s="4"/>
      <c r="AA2299" s="4"/>
      <c r="AB2299" s="4"/>
      <c r="AC2299" s="4"/>
      <c r="AD2299" s="4"/>
      <c r="AE2299" s="4"/>
      <c r="AF2299" s="4"/>
      <c r="AG2299" s="4"/>
      <c r="AH2299" s="4"/>
      <c r="AI2299" s="4"/>
      <c r="AJ2299" s="4"/>
      <c r="AK2299" s="4"/>
      <c r="AL2299" s="4"/>
      <c r="AM2299" s="4"/>
      <c r="AN2299" s="4"/>
      <c r="AO2299" s="4"/>
      <c r="AP2299" s="4"/>
      <c r="AQ2299" s="4"/>
      <c r="AR2299" s="4"/>
      <c r="AS2299" s="4"/>
      <c r="AT2299" s="4"/>
      <c r="AU2299" s="4"/>
      <c r="AV2299" s="4"/>
    </row>
    <row r="2300" spans="4:48" x14ac:dyDescent="0.3">
      <c r="D2300" s="5"/>
      <c r="E2300" s="5"/>
      <c r="F2300" s="20"/>
      <c r="G2300" s="20"/>
      <c r="H2300" s="5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4"/>
      <c r="T2300" s="4"/>
      <c r="U2300" s="4"/>
      <c r="V2300" s="4"/>
      <c r="W2300" s="4"/>
      <c r="X2300" s="4"/>
      <c r="Y2300" s="4"/>
      <c r="Z2300" s="4"/>
      <c r="AA2300" s="4"/>
      <c r="AB2300" s="4"/>
      <c r="AC2300" s="4"/>
      <c r="AD2300" s="4"/>
      <c r="AE2300" s="4"/>
      <c r="AF2300" s="4"/>
      <c r="AG2300" s="4"/>
      <c r="AH2300" s="4"/>
      <c r="AI2300" s="4"/>
      <c r="AJ2300" s="4"/>
      <c r="AK2300" s="4"/>
      <c r="AL2300" s="4"/>
      <c r="AM2300" s="4"/>
      <c r="AN2300" s="4"/>
      <c r="AO2300" s="4"/>
      <c r="AP2300" s="4"/>
      <c r="AQ2300" s="4"/>
      <c r="AR2300" s="4"/>
      <c r="AS2300" s="4"/>
      <c r="AT2300" s="4"/>
      <c r="AU2300" s="4"/>
      <c r="AV2300" s="4"/>
    </row>
    <row r="2301" spans="4:48" x14ac:dyDescent="0.3">
      <c r="D2301" s="5"/>
      <c r="E2301" s="5"/>
      <c r="F2301" s="20"/>
      <c r="G2301" s="20"/>
      <c r="H2301" s="5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4"/>
      <c r="T2301" s="4"/>
      <c r="U2301" s="4"/>
      <c r="V2301" s="4"/>
      <c r="W2301" s="4"/>
      <c r="X2301" s="4"/>
      <c r="Y2301" s="4"/>
      <c r="Z2301" s="4"/>
      <c r="AA2301" s="4"/>
      <c r="AB2301" s="4"/>
      <c r="AC2301" s="4"/>
      <c r="AD2301" s="4"/>
      <c r="AE2301" s="4"/>
      <c r="AF2301" s="4"/>
      <c r="AG2301" s="4"/>
      <c r="AH2301" s="4"/>
      <c r="AI2301" s="4"/>
      <c r="AJ2301" s="4"/>
      <c r="AK2301" s="4"/>
      <c r="AL2301" s="4"/>
      <c r="AM2301" s="4"/>
      <c r="AN2301" s="4"/>
      <c r="AO2301" s="4"/>
      <c r="AP2301" s="4"/>
      <c r="AQ2301" s="4"/>
      <c r="AR2301" s="4"/>
      <c r="AS2301" s="4"/>
      <c r="AT2301" s="4"/>
      <c r="AU2301" s="4"/>
      <c r="AV2301" s="4"/>
    </row>
    <row r="2302" spans="4:48" x14ac:dyDescent="0.3">
      <c r="D2302" s="5"/>
      <c r="E2302" s="5"/>
      <c r="F2302" s="20"/>
      <c r="G2302" s="20"/>
      <c r="H2302" s="5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4"/>
      <c r="T2302" s="4"/>
      <c r="U2302" s="4"/>
      <c r="V2302" s="4"/>
      <c r="W2302" s="4"/>
      <c r="X2302" s="4"/>
      <c r="Y2302" s="4"/>
      <c r="Z2302" s="4"/>
      <c r="AA2302" s="4"/>
      <c r="AB2302" s="4"/>
      <c r="AC2302" s="4"/>
      <c r="AD2302" s="4"/>
      <c r="AE2302" s="4"/>
      <c r="AF2302" s="4"/>
      <c r="AG2302" s="4"/>
      <c r="AH2302" s="4"/>
      <c r="AI2302" s="4"/>
      <c r="AJ2302" s="4"/>
      <c r="AK2302" s="4"/>
      <c r="AL2302" s="4"/>
      <c r="AM2302" s="4"/>
      <c r="AN2302" s="4"/>
      <c r="AO2302" s="4"/>
      <c r="AP2302" s="4"/>
      <c r="AQ2302" s="4"/>
      <c r="AR2302" s="4"/>
      <c r="AS2302" s="4"/>
      <c r="AT2302" s="4"/>
      <c r="AU2302" s="4"/>
      <c r="AV2302" s="4"/>
    </row>
    <row r="2303" spans="4:48" x14ac:dyDescent="0.3">
      <c r="D2303" s="5"/>
      <c r="E2303" s="5"/>
      <c r="F2303" s="20"/>
      <c r="G2303" s="20"/>
      <c r="H2303" s="5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4"/>
      <c r="T2303" s="4"/>
      <c r="U2303" s="4"/>
      <c r="V2303" s="4"/>
      <c r="W2303" s="4"/>
      <c r="X2303" s="4"/>
      <c r="Y2303" s="4"/>
      <c r="Z2303" s="4"/>
      <c r="AA2303" s="4"/>
      <c r="AB2303" s="4"/>
      <c r="AC2303" s="4"/>
      <c r="AD2303" s="4"/>
      <c r="AE2303" s="4"/>
      <c r="AF2303" s="4"/>
      <c r="AG2303" s="4"/>
      <c r="AH2303" s="4"/>
      <c r="AI2303" s="4"/>
      <c r="AJ2303" s="4"/>
      <c r="AK2303" s="4"/>
      <c r="AL2303" s="4"/>
      <c r="AM2303" s="4"/>
      <c r="AN2303" s="4"/>
      <c r="AO2303" s="4"/>
      <c r="AP2303" s="4"/>
      <c r="AQ2303" s="4"/>
      <c r="AR2303" s="4"/>
      <c r="AS2303" s="4"/>
      <c r="AT2303" s="4"/>
      <c r="AU2303" s="4"/>
      <c r="AV2303" s="4"/>
    </row>
    <row r="2304" spans="4:48" x14ac:dyDescent="0.3">
      <c r="D2304" s="5"/>
      <c r="E2304" s="5"/>
      <c r="F2304" s="20"/>
      <c r="G2304" s="20"/>
      <c r="H2304" s="5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4"/>
      <c r="T2304" s="4"/>
      <c r="U2304" s="4"/>
      <c r="V2304" s="4"/>
      <c r="W2304" s="4"/>
      <c r="X2304" s="4"/>
      <c r="Y2304" s="4"/>
      <c r="Z2304" s="4"/>
      <c r="AA2304" s="4"/>
      <c r="AB2304" s="4"/>
      <c r="AC2304" s="4"/>
      <c r="AD2304" s="4"/>
      <c r="AE2304" s="4"/>
      <c r="AF2304" s="4"/>
      <c r="AG2304" s="4"/>
      <c r="AH2304" s="4"/>
      <c r="AI2304" s="4"/>
      <c r="AJ2304" s="4"/>
      <c r="AK2304" s="4"/>
      <c r="AL2304" s="4"/>
      <c r="AM2304" s="4"/>
      <c r="AN2304" s="4"/>
      <c r="AO2304" s="4"/>
      <c r="AP2304" s="4"/>
      <c r="AQ2304" s="4"/>
      <c r="AR2304" s="4"/>
      <c r="AS2304" s="4"/>
      <c r="AT2304" s="4"/>
      <c r="AU2304" s="4"/>
      <c r="AV2304" s="4"/>
    </row>
    <row r="2305" spans="4:48" x14ac:dyDescent="0.3">
      <c r="D2305" s="5"/>
      <c r="E2305" s="5"/>
      <c r="F2305" s="20"/>
      <c r="G2305" s="20"/>
      <c r="H2305" s="5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4"/>
      <c r="T2305" s="4"/>
      <c r="U2305" s="4"/>
      <c r="V2305" s="4"/>
      <c r="W2305" s="4"/>
      <c r="X2305" s="4"/>
      <c r="Y2305" s="4"/>
      <c r="Z2305" s="4"/>
      <c r="AA2305" s="4"/>
      <c r="AB2305" s="4"/>
      <c r="AC2305" s="4"/>
      <c r="AD2305" s="4"/>
      <c r="AE2305" s="4"/>
      <c r="AF2305" s="4"/>
      <c r="AG2305" s="4"/>
      <c r="AH2305" s="4"/>
      <c r="AI2305" s="4"/>
      <c r="AJ2305" s="4"/>
      <c r="AK2305" s="4"/>
      <c r="AL2305" s="4"/>
      <c r="AM2305" s="4"/>
      <c r="AN2305" s="4"/>
      <c r="AO2305" s="4"/>
      <c r="AP2305" s="4"/>
      <c r="AQ2305" s="4"/>
      <c r="AR2305" s="4"/>
      <c r="AS2305" s="4"/>
      <c r="AT2305" s="4"/>
      <c r="AU2305" s="4"/>
      <c r="AV2305" s="4"/>
    </row>
    <row r="2306" spans="4:48" x14ac:dyDescent="0.3">
      <c r="D2306" s="5"/>
      <c r="E2306" s="5"/>
      <c r="F2306" s="20"/>
      <c r="G2306" s="20"/>
      <c r="H2306" s="5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4"/>
      <c r="T2306" s="4"/>
      <c r="U2306" s="4"/>
      <c r="V2306" s="4"/>
      <c r="W2306" s="4"/>
      <c r="X2306" s="4"/>
      <c r="Y2306" s="4"/>
      <c r="Z2306" s="4"/>
      <c r="AA2306" s="4"/>
      <c r="AB2306" s="4"/>
      <c r="AC2306" s="4"/>
      <c r="AD2306" s="4"/>
      <c r="AE2306" s="4"/>
      <c r="AF2306" s="4"/>
      <c r="AG2306" s="4"/>
      <c r="AH2306" s="4"/>
      <c r="AI2306" s="4"/>
      <c r="AJ2306" s="4"/>
      <c r="AK2306" s="4"/>
      <c r="AL2306" s="4"/>
      <c r="AM2306" s="4"/>
      <c r="AN2306" s="4"/>
      <c r="AO2306" s="4"/>
      <c r="AP2306" s="4"/>
      <c r="AQ2306" s="4"/>
      <c r="AR2306" s="4"/>
      <c r="AS2306" s="4"/>
      <c r="AT2306" s="4"/>
      <c r="AU2306" s="4"/>
      <c r="AV2306" s="4"/>
    </row>
    <row r="2307" spans="4:48" x14ac:dyDescent="0.3">
      <c r="D2307" s="5"/>
      <c r="E2307" s="5"/>
      <c r="F2307" s="20"/>
      <c r="G2307" s="20"/>
      <c r="H2307" s="5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4"/>
      <c r="T2307" s="4"/>
      <c r="U2307" s="4"/>
      <c r="V2307" s="4"/>
      <c r="W2307" s="4"/>
      <c r="X2307" s="4"/>
      <c r="Y2307" s="4"/>
      <c r="Z2307" s="4"/>
      <c r="AA2307" s="4"/>
      <c r="AB2307" s="4"/>
      <c r="AC2307" s="4"/>
      <c r="AD2307" s="4"/>
      <c r="AE2307" s="4"/>
      <c r="AF2307" s="4"/>
      <c r="AG2307" s="4"/>
      <c r="AH2307" s="4"/>
      <c r="AI2307" s="4"/>
      <c r="AJ2307" s="4"/>
      <c r="AK2307" s="4"/>
      <c r="AL2307" s="4"/>
      <c r="AM2307" s="4"/>
      <c r="AN2307" s="4"/>
      <c r="AO2307" s="4"/>
      <c r="AP2307" s="4"/>
      <c r="AQ2307" s="4"/>
      <c r="AR2307" s="4"/>
      <c r="AS2307" s="4"/>
      <c r="AT2307" s="4"/>
      <c r="AU2307" s="4"/>
      <c r="AV2307" s="4"/>
    </row>
    <row r="2308" spans="4:48" x14ac:dyDescent="0.3">
      <c r="D2308" s="5"/>
      <c r="E2308" s="5"/>
      <c r="F2308" s="20"/>
      <c r="G2308" s="20"/>
      <c r="H2308" s="5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4"/>
      <c r="T2308" s="4"/>
      <c r="U2308" s="4"/>
      <c r="V2308" s="4"/>
      <c r="W2308" s="4"/>
      <c r="X2308" s="4"/>
      <c r="Y2308" s="4"/>
      <c r="Z2308" s="4"/>
      <c r="AA2308" s="4"/>
      <c r="AB2308" s="4"/>
      <c r="AC2308" s="4"/>
      <c r="AD2308" s="4"/>
      <c r="AE2308" s="4"/>
      <c r="AF2308" s="4"/>
      <c r="AG2308" s="4"/>
      <c r="AH2308" s="4"/>
      <c r="AI2308" s="4"/>
      <c r="AJ2308" s="4"/>
      <c r="AK2308" s="4"/>
      <c r="AL2308" s="4"/>
      <c r="AM2308" s="4"/>
      <c r="AN2308" s="4"/>
      <c r="AO2308" s="4"/>
      <c r="AP2308" s="4"/>
      <c r="AQ2308" s="4"/>
      <c r="AR2308" s="4"/>
      <c r="AS2308" s="4"/>
      <c r="AT2308" s="4"/>
      <c r="AU2308" s="4"/>
      <c r="AV2308" s="4"/>
    </row>
    <row r="2309" spans="4:48" x14ac:dyDescent="0.3">
      <c r="D2309" s="5"/>
      <c r="E2309" s="5"/>
      <c r="F2309" s="20"/>
      <c r="G2309" s="20"/>
      <c r="H2309" s="5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4"/>
      <c r="T2309" s="4"/>
      <c r="U2309" s="4"/>
      <c r="V2309" s="4"/>
      <c r="W2309" s="4"/>
      <c r="X2309" s="4"/>
      <c r="Y2309" s="4"/>
      <c r="Z2309" s="4"/>
      <c r="AA2309" s="4"/>
      <c r="AB2309" s="4"/>
      <c r="AC2309" s="4"/>
      <c r="AD2309" s="4"/>
      <c r="AE2309" s="4"/>
      <c r="AF2309" s="4"/>
      <c r="AG2309" s="4"/>
      <c r="AH2309" s="4"/>
      <c r="AI2309" s="4"/>
      <c r="AJ2309" s="4"/>
      <c r="AK2309" s="4"/>
      <c r="AL2309" s="4"/>
      <c r="AM2309" s="4"/>
      <c r="AN2309" s="4"/>
      <c r="AO2309" s="4"/>
      <c r="AP2309" s="4"/>
      <c r="AQ2309" s="4"/>
      <c r="AR2309" s="4"/>
      <c r="AS2309" s="4"/>
      <c r="AT2309" s="4"/>
      <c r="AU2309" s="4"/>
      <c r="AV2309" s="4"/>
    </row>
    <row r="2310" spans="4:48" x14ac:dyDescent="0.3">
      <c r="D2310" s="5"/>
      <c r="E2310" s="5"/>
      <c r="F2310" s="20"/>
      <c r="G2310" s="20"/>
      <c r="H2310" s="5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4"/>
      <c r="T2310" s="4"/>
      <c r="U2310" s="4"/>
      <c r="V2310" s="4"/>
      <c r="W2310" s="4"/>
      <c r="X2310" s="4"/>
      <c r="Y2310" s="4"/>
      <c r="Z2310" s="4"/>
      <c r="AA2310" s="4"/>
      <c r="AB2310" s="4"/>
      <c r="AC2310" s="4"/>
      <c r="AD2310" s="4"/>
      <c r="AE2310" s="4"/>
      <c r="AF2310" s="4"/>
      <c r="AG2310" s="4"/>
      <c r="AH2310" s="4"/>
      <c r="AI2310" s="4"/>
      <c r="AJ2310" s="4"/>
      <c r="AK2310" s="4"/>
      <c r="AL2310" s="4"/>
      <c r="AM2310" s="4"/>
      <c r="AN2310" s="4"/>
      <c r="AO2310" s="4"/>
      <c r="AP2310" s="4"/>
      <c r="AQ2310" s="4"/>
      <c r="AR2310" s="4"/>
      <c r="AS2310" s="4"/>
      <c r="AT2310" s="4"/>
      <c r="AU2310" s="4"/>
      <c r="AV2310" s="4"/>
    </row>
    <row r="2311" spans="4:48" x14ac:dyDescent="0.3">
      <c r="D2311" s="5"/>
      <c r="E2311" s="5"/>
      <c r="F2311" s="20"/>
      <c r="G2311" s="20"/>
      <c r="H2311" s="5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4"/>
      <c r="T2311" s="4"/>
      <c r="U2311" s="4"/>
      <c r="V2311" s="4"/>
      <c r="W2311" s="4"/>
      <c r="X2311" s="4"/>
      <c r="Y2311" s="4"/>
      <c r="Z2311" s="4"/>
      <c r="AA2311" s="4"/>
      <c r="AB2311" s="4"/>
      <c r="AC2311" s="4"/>
      <c r="AD2311" s="4"/>
      <c r="AE2311" s="4"/>
      <c r="AF2311" s="4"/>
      <c r="AG2311" s="4"/>
      <c r="AH2311" s="4"/>
      <c r="AI2311" s="4"/>
      <c r="AJ2311" s="4"/>
      <c r="AK2311" s="4"/>
      <c r="AL2311" s="4"/>
      <c r="AM2311" s="4"/>
      <c r="AN2311" s="4"/>
      <c r="AO2311" s="4"/>
      <c r="AP2311" s="4"/>
      <c r="AQ2311" s="4"/>
      <c r="AR2311" s="4"/>
      <c r="AS2311" s="4"/>
      <c r="AT2311" s="4"/>
      <c r="AU2311" s="4"/>
      <c r="AV2311" s="4"/>
    </row>
    <row r="2312" spans="4:48" x14ac:dyDescent="0.3">
      <c r="D2312" s="5"/>
      <c r="E2312" s="5"/>
      <c r="F2312" s="20"/>
      <c r="G2312" s="20"/>
      <c r="H2312" s="5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4"/>
      <c r="T2312" s="4"/>
      <c r="U2312" s="4"/>
      <c r="V2312" s="4"/>
      <c r="W2312" s="4"/>
      <c r="X2312" s="4"/>
      <c r="Y2312" s="4"/>
      <c r="Z2312" s="4"/>
      <c r="AA2312" s="4"/>
      <c r="AB2312" s="4"/>
      <c r="AC2312" s="4"/>
      <c r="AD2312" s="4"/>
      <c r="AE2312" s="4"/>
      <c r="AF2312" s="4"/>
      <c r="AG2312" s="4"/>
      <c r="AH2312" s="4"/>
      <c r="AI2312" s="4"/>
      <c r="AJ2312" s="4"/>
      <c r="AK2312" s="4"/>
      <c r="AL2312" s="4"/>
      <c r="AM2312" s="4"/>
      <c r="AN2312" s="4"/>
      <c r="AO2312" s="4"/>
      <c r="AP2312" s="4"/>
      <c r="AQ2312" s="4"/>
      <c r="AR2312" s="4"/>
      <c r="AS2312" s="4"/>
      <c r="AT2312" s="4"/>
      <c r="AU2312" s="4"/>
      <c r="AV2312" s="4"/>
    </row>
    <row r="2313" spans="4:48" x14ac:dyDescent="0.3">
      <c r="D2313" s="5"/>
      <c r="E2313" s="5"/>
      <c r="F2313" s="20"/>
      <c r="G2313" s="20"/>
      <c r="H2313" s="5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4"/>
      <c r="T2313" s="4"/>
      <c r="U2313" s="4"/>
      <c r="V2313" s="4"/>
      <c r="W2313" s="4"/>
      <c r="X2313" s="4"/>
      <c r="Y2313" s="4"/>
      <c r="Z2313" s="4"/>
      <c r="AA2313" s="4"/>
      <c r="AB2313" s="4"/>
      <c r="AC2313" s="4"/>
      <c r="AD2313" s="4"/>
      <c r="AE2313" s="4"/>
      <c r="AF2313" s="4"/>
      <c r="AG2313" s="4"/>
      <c r="AH2313" s="4"/>
      <c r="AI2313" s="4"/>
      <c r="AJ2313" s="4"/>
      <c r="AK2313" s="4"/>
      <c r="AL2313" s="4"/>
      <c r="AM2313" s="4"/>
      <c r="AN2313" s="4"/>
      <c r="AO2313" s="4"/>
      <c r="AP2313" s="4"/>
      <c r="AQ2313" s="4"/>
      <c r="AR2313" s="4"/>
      <c r="AS2313" s="4"/>
      <c r="AT2313" s="4"/>
      <c r="AU2313" s="4"/>
      <c r="AV2313" s="4"/>
    </row>
    <row r="2314" spans="4:48" x14ac:dyDescent="0.3">
      <c r="D2314" s="5"/>
      <c r="E2314" s="5"/>
      <c r="F2314" s="20"/>
      <c r="G2314" s="20"/>
      <c r="H2314" s="5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4"/>
      <c r="T2314" s="4"/>
      <c r="U2314" s="4"/>
      <c r="V2314" s="4"/>
      <c r="W2314" s="4"/>
      <c r="X2314" s="4"/>
      <c r="Y2314" s="4"/>
      <c r="Z2314" s="4"/>
      <c r="AA2314" s="4"/>
      <c r="AB2314" s="4"/>
      <c r="AC2314" s="4"/>
      <c r="AD2314" s="4"/>
      <c r="AE2314" s="4"/>
      <c r="AF2314" s="4"/>
      <c r="AG2314" s="4"/>
      <c r="AH2314" s="4"/>
      <c r="AI2314" s="4"/>
      <c r="AJ2314" s="4"/>
      <c r="AK2314" s="4"/>
      <c r="AL2314" s="4"/>
      <c r="AM2314" s="4"/>
      <c r="AN2314" s="4"/>
      <c r="AO2314" s="4"/>
      <c r="AP2314" s="4"/>
      <c r="AQ2314" s="4"/>
      <c r="AR2314" s="4"/>
      <c r="AS2314" s="4"/>
      <c r="AT2314" s="4"/>
      <c r="AU2314" s="4"/>
      <c r="AV2314" s="4"/>
    </row>
    <row r="2315" spans="4:48" x14ac:dyDescent="0.3">
      <c r="D2315" s="5"/>
      <c r="E2315" s="5"/>
      <c r="F2315" s="20"/>
      <c r="G2315" s="20"/>
      <c r="H2315" s="5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4"/>
      <c r="T2315" s="4"/>
      <c r="U2315" s="4"/>
      <c r="V2315" s="4"/>
      <c r="W2315" s="4"/>
      <c r="X2315" s="4"/>
      <c r="Y2315" s="4"/>
      <c r="Z2315" s="4"/>
      <c r="AA2315" s="4"/>
      <c r="AB2315" s="4"/>
      <c r="AC2315" s="4"/>
      <c r="AD2315" s="4"/>
      <c r="AE2315" s="4"/>
      <c r="AF2315" s="4"/>
      <c r="AG2315" s="4"/>
      <c r="AH2315" s="4"/>
      <c r="AI2315" s="4"/>
      <c r="AJ2315" s="4"/>
      <c r="AK2315" s="4"/>
      <c r="AL2315" s="4"/>
      <c r="AM2315" s="4"/>
      <c r="AN2315" s="4"/>
      <c r="AO2315" s="4"/>
      <c r="AP2315" s="4"/>
      <c r="AQ2315" s="4"/>
      <c r="AR2315" s="4"/>
      <c r="AS2315" s="4"/>
      <c r="AT2315" s="4"/>
      <c r="AU2315" s="4"/>
      <c r="AV2315" s="4"/>
    </row>
    <row r="2316" spans="4:48" x14ac:dyDescent="0.3">
      <c r="D2316" s="5"/>
      <c r="E2316" s="5"/>
      <c r="F2316" s="20"/>
      <c r="G2316" s="20"/>
      <c r="H2316" s="5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4"/>
      <c r="T2316" s="4"/>
      <c r="U2316" s="4"/>
      <c r="V2316" s="4"/>
      <c r="W2316" s="4"/>
      <c r="X2316" s="4"/>
      <c r="Y2316" s="4"/>
      <c r="Z2316" s="4"/>
      <c r="AA2316" s="4"/>
      <c r="AB2316" s="4"/>
      <c r="AC2316" s="4"/>
      <c r="AD2316" s="4"/>
      <c r="AE2316" s="4"/>
      <c r="AF2316" s="4"/>
      <c r="AG2316" s="4"/>
      <c r="AH2316" s="4"/>
      <c r="AI2316" s="4"/>
      <c r="AJ2316" s="4"/>
      <c r="AK2316" s="4"/>
      <c r="AL2316" s="4"/>
      <c r="AM2316" s="4"/>
      <c r="AN2316" s="4"/>
      <c r="AO2316" s="4"/>
      <c r="AP2316" s="4"/>
      <c r="AQ2316" s="4"/>
      <c r="AR2316" s="4"/>
      <c r="AS2316" s="4"/>
      <c r="AT2316" s="4"/>
      <c r="AU2316" s="4"/>
      <c r="AV2316" s="4"/>
    </row>
    <row r="2317" spans="4:48" x14ac:dyDescent="0.3">
      <c r="D2317" s="5"/>
      <c r="E2317" s="5"/>
      <c r="F2317" s="20"/>
      <c r="G2317" s="20"/>
      <c r="H2317" s="5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4"/>
      <c r="T2317" s="4"/>
      <c r="U2317" s="4"/>
      <c r="V2317" s="4"/>
      <c r="W2317" s="4"/>
      <c r="X2317" s="4"/>
      <c r="Y2317" s="4"/>
      <c r="Z2317" s="4"/>
      <c r="AA2317" s="4"/>
      <c r="AB2317" s="4"/>
      <c r="AC2317" s="4"/>
      <c r="AD2317" s="4"/>
      <c r="AE2317" s="4"/>
      <c r="AF2317" s="4"/>
      <c r="AG2317" s="4"/>
      <c r="AH2317" s="4"/>
      <c r="AI2317" s="4"/>
      <c r="AJ2317" s="4"/>
      <c r="AK2317" s="4"/>
      <c r="AL2317" s="4"/>
      <c r="AM2317" s="4"/>
      <c r="AN2317" s="4"/>
      <c r="AO2317" s="4"/>
      <c r="AP2317" s="4"/>
      <c r="AQ2317" s="4"/>
      <c r="AR2317" s="4"/>
      <c r="AS2317" s="4"/>
      <c r="AT2317" s="4"/>
      <c r="AU2317" s="4"/>
      <c r="AV2317" s="4"/>
    </row>
    <row r="2318" spans="4:48" x14ac:dyDescent="0.3">
      <c r="D2318" s="5"/>
      <c r="E2318" s="5"/>
      <c r="F2318" s="20"/>
      <c r="G2318" s="20"/>
      <c r="H2318" s="5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4"/>
      <c r="T2318" s="4"/>
      <c r="U2318" s="4"/>
      <c r="V2318" s="4"/>
      <c r="W2318" s="4"/>
      <c r="X2318" s="4"/>
      <c r="Y2318" s="4"/>
      <c r="Z2318" s="4"/>
      <c r="AA2318" s="4"/>
      <c r="AB2318" s="4"/>
      <c r="AC2318" s="4"/>
      <c r="AD2318" s="4"/>
      <c r="AE2318" s="4"/>
      <c r="AF2318" s="4"/>
      <c r="AG2318" s="4"/>
      <c r="AH2318" s="4"/>
      <c r="AI2318" s="4"/>
      <c r="AJ2318" s="4"/>
      <c r="AK2318" s="4"/>
      <c r="AL2318" s="4"/>
      <c r="AM2318" s="4"/>
      <c r="AN2318" s="4"/>
      <c r="AO2318" s="4"/>
      <c r="AP2318" s="4"/>
      <c r="AQ2318" s="4"/>
      <c r="AR2318" s="4"/>
      <c r="AS2318" s="4"/>
      <c r="AT2318" s="4"/>
      <c r="AU2318" s="4"/>
      <c r="AV2318" s="4"/>
    </row>
    <row r="2319" spans="4:48" x14ac:dyDescent="0.3">
      <c r="D2319" s="5"/>
      <c r="E2319" s="5"/>
      <c r="F2319" s="20"/>
      <c r="G2319" s="20"/>
      <c r="H2319" s="5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4"/>
      <c r="T2319" s="4"/>
      <c r="U2319" s="4"/>
      <c r="V2319" s="4"/>
      <c r="W2319" s="4"/>
      <c r="X2319" s="4"/>
      <c r="Y2319" s="4"/>
      <c r="Z2319" s="4"/>
      <c r="AA2319" s="4"/>
      <c r="AB2319" s="4"/>
      <c r="AC2319" s="4"/>
      <c r="AD2319" s="4"/>
      <c r="AE2319" s="4"/>
      <c r="AF2319" s="4"/>
      <c r="AG2319" s="4"/>
      <c r="AH2319" s="4"/>
      <c r="AI2319" s="4"/>
      <c r="AJ2319" s="4"/>
      <c r="AK2319" s="4"/>
      <c r="AL2319" s="4"/>
      <c r="AM2319" s="4"/>
      <c r="AN2319" s="4"/>
      <c r="AO2319" s="4"/>
      <c r="AP2319" s="4"/>
      <c r="AQ2319" s="4"/>
      <c r="AR2319" s="4"/>
      <c r="AS2319" s="4"/>
      <c r="AT2319" s="4"/>
      <c r="AU2319" s="4"/>
      <c r="AV2319" s="4"/>
    </row>
    <row r="2320" spans="4:48" x14ac:dyDescent="0.3">
      <c r="D2320" s="5"/>
      <c r="E2320" s="5"/>
      <c r="F2320" s="20"/>
      <c r="G2320" s="20"/>
      <c r="H2320" s="5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4"/>
      <c r="T2320" s="4"/>
      <c r="U2320" s="4"/>
      <c r="V2320" s="4"/>
      <c r="W2320" s="4"/>
      <c r="X2320" s="4"/>
      <c r="Y2320" s="4"/>
      <c r="Z2320" s="4"/>
      <c r="AA2320" s="4"/>
      <c r="AB2320" s="4"/>
      <c r="AC2320" s="4"/>
      <c r="AD2320" s="4"/>
      <c r="AE2320" s="4"/>
      <c r="AF2320" s="4"/>
      <c r="AG2320" s="4"/>
      <c r="AH2320" s="4"/>
      <c r="AI2320" s="4"/>
      <c r="AJ2320" s="4"/>
      <c r="AK2320" s="4"/>
      <c r="AL2320" s="4"/>
      <c r="AM2320" s="4"/>
      <c r="AN2320" s="4"/>
      <c r="AO2320" s="4"/>
      <c r="AP2320" s="4"/>
      <c r="AQ2320" s="4"/>
      <c r="AR2320" s="4"/>
      <c r="AS2320" s="4"/>
      <c r="AT2320" s="4"/>
      <c r="AU2320" s="4"/>
      <c r="AV2320" s="4"/>
    </row>
    <row r="2321" spans="4:48" x14ac:dyDescent="0.3">
      <c r="D2321" s="5"/>
      <c r="E2321" s="5"/>
      <c r="F2321" s="20"/>
      <c r="G2321" s="20"/>
      <c r="H2321" s="5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4"/>
      <c r="T2321" s="4"/>
      <c r="U2321" s="4"/>
      <c r="V2321" s="4"/>
      <c r="W2321" s="4"/>
      <c r="X2321" s="4"/>
      <c r="Y2321" s="4"/>
      <c r="Z2321" s="4"/>
      <c r="AA2321" s="4"/>
      <c r="AB2321" s="4"/>
      <c r="AC2321" s="4"/>
      <c r="AD2321" s="4"/>
      <c r="AE2321" s="4"/>
      <c r="AF2321" s="4"/>
      <c r="AG2321" s="4"/>
      <c r="AH2321" s="4"/>
      <c r="AI2321" s="4"/>
      <c r="AJ2321" s="4"/>
      <c r="AK2321" s="4"/>
      <c r="AL2321" s="4"/>
      <c r="AM2321" s="4"/>
      <c r="AN2321" s="4"/>
      <c r="AO2321" s="4"/>
      <c r="AP2321" s="4"/>
      <c r="AQ2321" s="4"/>
      <c r="AR2321" s="4"/>
      <c r="AS2321" s="4"/>
      <c r="AT2321" s="4"/>
      <c r="AU2321" s="4"/>
      <c r="AV2321" s="4"/>
    </row>
    <row r="2322" spans="4:48" x14ac:dyDescent="0.3">
      <c r="D2322" s="5"/>
      <c r="E2322" s="5"/>
      <c r="F2322" s="20"/>
      <c r="G2322" s="20"/>
      <c r="H2322" s="5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4"/>
      <c r="T2322" s="4"/>
      <c r="U2322" s="4"/>
      <c r="V2322" s="4"/>
      <c r="W2322" s="4"/>
      <c r="X2322" s="4"/>
      <c r="Y2322" s="4"/>
      <c r="Z2322" s="4"/>
      <c r="AA2322" s="4"/>
      <c r="AB2322" s="4"/>
      <c r="AC2322" s="4"/>
      <c r="AD2322" s="4"/>
      <c r="AE2322" s="4"/>
      <c r="AF2322" s="4"/>
      <c r="AG2322" s="4"/>
      <c r="AH2322" s="4"/>
      <c r="AI2322" s="4"/>
      <c r="AJ2322" s="4"/>
      <c r="AK2322" s="4"/>
      <c r="AL2322" s="4"/>
      <c r="AM2322" s="4"/>
      <c r="AN2322" s="4"/>
      <c r="AO2322" s="4"/>
      <c r="AP2322" s="4"/>
      <c r="AQ2322" s="4"/>
      <c r="AR2322" s="4"/>
      <c r="AS2322" s="4"/>
      <c r="AT2322" s="4"/>
      <c r="AU2322" s="4"/>
      <c r="AV2322" s="4"/>
    </row>
    <row r="2323" spans="4:48" x14ac:dyDescent="0.3">
      <c r="D2323" s="5"/>
      <c r="E2323" s="5"/>
      <c r="F2323" s="20"/>
      <c r="G2323" s="20"/>
      <c r="H2323" s="5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4"/>
      <c r="T2323" s="4"/>
      <c r="U2323" s="4"/>
      <c r="V2323" s="4"/>
      <c r="W2323" s="4"/>
      <c r="X2323" s="4"/>
      <c r="Y2323" s="4"/>
      <c r="Z2323" s="4"/>
      <c r="AA2323" s="4"/>
      <c r="AB2323" s="4"/>
      <c r="AC2323" s="4"/>
      <c r="AD2323" s="4"/>
      <c r="AE2323" s="4"/>
      <c r="AF2323" s="4"/>
      <c r="AG2323" s="4"/>
      <c r="AH2323" s="4"/>
      <c r="AI2323" s="4"/>
      <c r="AJ2323" s="4"/>
      <c r="AK2323" s="4"/>
      <c r="AL2323" s="4"/>
      <c r="AM2323" s="4"/>
      <c r="AN2323" s="4"/>
      <c r="AO2323" s="4"/>
      <c r="AP2323" s="4"/>
      <c r="AQ2323" s="4"/>
      <c r="AR2323" s="4"/>
      <c r="AS2323" s="4"/>
      <c r="AT2323" s="4"/>
      <c r="AU2323" s="4"/>
      <c r="AV2323" s="4"/>
    </row>
    <row r="2324" spans="4:48" x14ac:dyDescent="0.3">
      <c r="D2324" s="5"/>
      <c r="E2324" s="5"/>
      <c r="F2324" s="20"/>
      <c r="G2324" s="20"/>
      <c r="H2324" s="5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4"/>
      <c r="T2324" s="4"/>
      <c r="U2324" s="4"/>
      <c r="V2324" s="4"/>
      <c r="W2324" s="4"/>
      <c r="X2324" s="4"/>
      <c r="Y2324" s="4"/>
      <c r="Z2324" s="4"/>
      <c r="AA2324" s="4"/>
      <c r="AB2324" s="4"/>
      <c r="AC2324" s="4"/>
      <c r="AD2324" s="4"/>
      <c r="AE2324" s="4"/>
      <c r="AF2324" s="4"/>
      <c r="AG2324" s="4"/>
      <c r="AH2324" s="4"/>
      <c r="AI2324" s="4"/>
      <c r="AJ2324" s="4"/>
      <c r="AK2324" s="4"/>
      <c r="AL2324" s="4"/>
      <c r="AM2324" s="4"/>
      <c r="AN2324" s="4"/>
      <c r="AO2324" s="4"/>
      <c r="AP2324" s="4"/>
      <c r="AQ2324" s="4"/>
      <c r="AR2324" s="4"/>
      <c r="AS2324" s="4"/>
      <c r="AT2324" s="4"/>
      <c r="AU2324" s="4"/>
      <c r="AV2324" s="4"/>
    </row>
    <row r="2325" spans="4:48" x14ac:dyDescent="0.3">
      <c r="D2325" s="5"/>
      <c r="E2325" s="5"/>
      <c r="F2325" s="20"/>
      <c r="G2325" s="20"/>
      <c r="H2325" s="5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4"/>
      <c r="T2325" s="4"/>
      <c r="U2325" s="4"/>
      <c r="V2325" s="4"/>
      <c r="W2325" s="4"/>
      <c r="X2325" s="4"/>
      <c r="Y2325" s="4"/>
      <c r="Z2325" s="4"/>
      <c r="AA2325" s="4"/>
      <c r="AB2325" s="4"/>
      <c r="AC2325" s="4"/>
      <c r="AD2325" s="4"/>
      <c r="AE2325" s="4"/>
      <c r="AF2325" s="4"/>
      <c r="AG2325" s="4"/>
      <c r="AH2325" s="4"/>
      <c r="AI2325" s="4"/>
      <c r="AJ2325" s="4"/>
      <c r="AK2325" s="4"/>
      <c r="AL2325" s="4"/>
      <c r="AM2325" s="4"/>
      <c r="AN2325" s="4"/>
      <c r="AO2325" s="4"/>
      <c r="AP2325" s="4"/>
      <c r="AQ2325" s="4"/>
      <c r="AR2325" s="4"/>
      <c r="AS2325" s="4"/>
      <c r="AT2325" s="4"/>
      <c r="AU2325" s="4"/>
      <c r="AV2325" s="4"/>
    </row>
    <row r="2326" spans="4:48" x14ac:dyDescent="0.3">
      <c r="D2326" s="5"/>
      <c r="E2326" s="5"/>
      <c r="F2326" s="20"/>
      <c r="G2326" s="20"/>
      <c r="H2326" s="5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4"/>
      <c r="T2326" s="4"/>
      <c r="U2326" s="4"/>
      <c r="V2326" s="4"/>
      <c r="W2326" s="4"/>
      <c r="X2326" s="4"/>
      <c r="Y2326" s="4"/>
      <c r="Z2326" s="4"/>
      <c r="AA2326" s="4"/>
      <c r="AB2326" s="4"/>
      <c r="AC2326" s="4"/>
      <c r="AD2326" s="4"/>
      <c r="AE2326" s="4"/>
      <c r="AF2326" s="4"/>
      <c r="AG2326" s="4"/>
      <c r="AH2326" s="4"/>
      <c r="AI2326" s="4"/>
      <c r="AJ2326" s="4"/>
      <c r="AK2326" s="4"/>
      <c r="AL2326" s="4"/>
      <c r="AM2326" s="4"/>
      <c r="AN2326" s="4"/>
      <c r="AO2326" s="4"/>
      <c r="AP2326" s="4"/>
      <c r="AQ2326" s="4"/>
      <c r="AR2326" s="4"/>
      <c r="AS2326" s="4"/>
      <c r="AT2326" s="4"/>
      <c r="AU2326" s="4"/>
      <c r="AV2326" s="4"/>
    </row>
    <row r="2327" spans="4:48" x14ac:dyDescent="0.3">
      <c r="D2327" s="5"/>
      <c r="E2327" s="5"/>
      <c r="F2327" s="20"/>
      <c r="G2327" s="20"/>
      <c r="H2327" s="5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4"/>
      <c r="T2327" s="4"/>
      <c r="U2327" s="4"/>
      <c r="V2327" s="4"/>
      <c r="W2327" s="4"/>
      <c r="X2327" s="4"/>
      <c r="Y2327" s="4"/>
      <c r="Z2327" s="4"/>
      <c r="AA2327" s="4"/>
      <c r="AB2327" s="4"/>
      <c r="AC2327" s="4"/>
      <c r="AD2327" s="4"/>
      <c r="AE2327" s="4"/>
      <c r="AF2327" s="4"/>
      <c r="AG2327" s="4"/>
      <c r="AH2327" s="4"/>
      <c r="AI2327" s="4"/>
      <c r="AJ2327" s="4"/>
      <c r="AK2327" s="4"/>
      <c r="AL2327" s="4"/>
      <c r="AM2327" s="4"/>
      <c r="AN2327" s="4"/>
      <c r="AO2327" s="4"/>
      <c r="AP2327" s="4"/>
      <c r="AQ2327" s="4"/>
      <c r="AR2327" s="4"/>
      <c r="AS2327" s="4"/>
      <c r="AT2327" s="4"/>
      <c r="AU2327" s="4"/>
      <c r="AV2327" s="4"/>
    </row>
    <row r="2328" spans="4:48" x14ac:dyDescent="0.3">
      <c r="D2328" s="5"/>
      <c r="E2328" s="5"/>
      <c r="F2328" s="20"/>
      <c r="G2328" s="20"/>
      <c r="H2328" s="5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4"/>
      <c r="T2328" s="4"/>
      <c r="U2328" s="4"/>
      <c r="V2328" s="4"/>
      <c r="W2328" s="4"/>
      <c r="X2328" s="4"/>
      <c r="Y2328" s="4"/>
      <c r="Z2328" s="4"/>
      <c r="AA2328" s="4"/>
      <c r="AB2328" s="4"/>
      <c r="AC2328" s="4"/>
      <c r="AD2328" s="4"/>
      <c r="AE2328" s="4"/>
      <c r="AF2328" s="4"/>
      <c r="AG2328" s="4"/>
      <c r="AH2328" s="4"/>
      <c r="AI2328" s="4"/>
      <c r="AJ2328" s="4"/>
      <c r="AK2328" s="4"/>
      <c r="AL2328" s="4"/>
      <c r="AM2328" s="4"/>
      <c r="AN2328" s="4"/>
      <c r="AO2328" s="4"/>
      <c r="AP2328" s="4"/>
      <c r="AQ2328" s="4"/>
      <c r="AR2328" s="4"/>
      <c r="AS2328" s="4"/>
      <c r="AT2328" s="4"/>
      <c r="AU2328" s="4"/>
      <c r="AV2328" s="4"/>
    </row>
    <row r="2329" spans="4:48" x14ac:dyDescent="0.3">
      <c r="D2329" s="5"/>
      <c r="E2329" s="5"/>
      <c r="F2329" s="20"/>
      <c r="G2329" s="20"/>
      <c r="H2329" s="5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4"/>
      <c r="T2329" s="4"/>
      <c r="U2329" s="4"/>
      <c r="V2329" s="4"/>
      <c r="W2329" s="4"/>
      <c r="X2329" s="4"/>
      <c r="Y2329" s="4"/>
      <c r="Z2329" s="4"/>
      <c r="AA2329" s="4"/>
      <c r="AB2329" s="4"/>
      <c r="AC2329" s="4"/>
      <c r="AD2329" s="4"/>
      <c r="AE2329" s="4"/>
      <c r="AF2329" s="4"/>
      <c r="AG2329" s="4"/>
      <c r="AH2329" s="4"/>
      <c r="AI2329" s="4"/>
      <c r="AJ2329" s="4"/>
      <c r="AK2329" s="4"/>
      <c r="AL2329" s="4"/>
      <c r="AM2329" s="4"/>
      <c r="AN2329" s="4"/>
      <c r="AO2329" s="4"/>
      <c r="AP2329" s="4"/>
      <c r="AQ2329" s="4"/>
      <c r="AR2329" s="4"/>
      <c r="AS2329" s="4"/>
      <c r="AT2329" s="4"/>
      <c r="AU2329" s="4"/>
      <c r="AV2329" s="4"/>
    </row>
    <row r="2330" spans="4:48" x14ac:dyDescent="0.3">
      <c r="D2330" s="5"/>
      <c r="E2330" s="5"/>
      <c r="F2330" s="20"/>
      <c r="G2330" s="20"/>
      <c r="H2330" s="5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4"/>
      <c r="T2330" s="4"/>
      <c r="U2330" s="4"/>
      <c r="V2330" s="4"/>
      <c r="W2330" s="4"/>
      <c r="X2330" s="4"/>
      <c r="Y2330" s="4"/>
      <c r="Z2330" s="4"/>
      <c r="AA2330" s="4"/>
      <c r="AB2330" s="4"/>
      <c r="AC2330" s="4"/>
      <c r="AD2330" s="4"/>
      <c r="AE2330" s="4"/>
      <c r="AF2330" s="4"/>
      <c r="AG2330" s="4"/>
      <c r="AH2330" s="4"/>
      <c r="AI2330" s="4"/>
      <c r="AJ2330" s="4"/>
      <c r="AK2330" s="4"/>
      <c r="AL2330" s="4"/>
      <c r="AM2330" s="4"/>
      <c r="AN2330" s="4"/>
      <c r="AO2330" s="4"/>
      <c r="AP2330" s="4"/>
      <c r="AQ2330" s="4"/>
      <c r="AR2330" s="4"/>
      <c r="AS2330" s="4"/>
      <c r="AT2330" s="4"/>
      <c r="AU2330" s="4"/>
      <c r="AV2330" s="4"/>
    </row>
    <row r="2331" spans="4:48" x14ac:dyDescent="0.3">
      <c r="D2331" s="5"/>
      <c r="E2331" s="5"/>
      <c r="F2331" s="20"/>
      <c r="G2331" s="20"/>
      <c r="H2331" s="5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4"/>
      <c r="T2331" s="4"/>
      <c r="U2331" s="4"/>
      <c r="V2331" s="4"/>
      <c r="W2331" s="4"/>
      <c r="X2331" s="4"/>
      <c r="Y2331" s="4"/>
      <c r="Z2331" s="4"/>
      <c r="AA2331" s="4"/>
      <c r="AB2331" s="4"/>
      <c r="AC2331" s="4"/>
      <c r="AD2331" s="4"/>
      <c r="AE2331" s="4"/>
      <c r="AF2331" s="4"/>
      <c r="AG2331" s="4"/>
      <c r="AH2331" s="4"/>
      <c r="AI2331" s="4"/>
      <c r="AJ2331" s="4"/>
      <c r="AK2331" s="4"/>
      <c r="AL2331" s="4"/>
      <c r="AM2331" s="4"/>
      <c r="AN2331" s="4"/>
      <c r="AO2331" s="4"/>
      <c r="AP2331" s="4"/>
      <c r="AQ2331" s="4"/>
      <c r="AR2331" s="4"/>
      <c r="AS2331" s="4"/>
      <c r="AT2331" s="4"/>
      <c r="AU2331" s="4"/>
      <c r="AV2331" s="4"/>
    </row>
    <row r="2332" spans="4:48" x14ac:dyDescent="0.3">
      <c r="D2332" s="5"/>
      <c r="E2332" s="5"/>
      <c r="F2332" s="20"/>
      <c r="G2332" s="20"/>
      <c r="H2332" s="5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4"/>
      <c r="T2332" s="4"/>
      <c r="U2332" s="4"/>
      <c r="V2332" s="4"/>
      <c r="W2332" s="4"/>
      <c r="X2332" s="4"/>
      <c r="Y2332" s="4"/>
      <c r="Z2332" s="4"/>
      <c r="AA2332" s="4"/>
      <c r="AB2332" s="4"/>
      <c r="AC2332" s="4"/>
      <c r="AD2332" s="4"/>
      <c r="AE2332" s="4"/>
      <c r="AF2332" s="4"/>
      <c r="AG2332" s="4"/>
      <c r="AH2332" s="4"/>
      <c r="AI2332" s="4"/>
      <c r="AJ2332" s="4"/>
      <c r="AK2332" s="4"/>
      <c r="AL2332" s="4"/>
      <c r="AM2332" s="4"/>
      <c r="AN2332" s="4"/>
      <c r="AO2332" s="4"/>
      <c r="AP2332" s="4"/>
      <c r="AQ2332" s="4"/>
      <c r="AR2332" s="4"/>
      <c r="AS2332" s="4"/>
      <c r="AT2332" s="4"/>
      <c r="AU2332" s="4"/>
      <c r="AV2332" s="4"/>
    </row>
    <row r="2333" spans="4:48" x14ac:dyDescent="0.3">
      <c r="D2333" s="5"/>
      <c r="E2333" s="5"/>
      <c r="F2333" s="20"/>
      <c r="G2333" s="20"/>
      <c r="H2333" s="5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4"/>
      <c r="T2333" s="4"/>
      <c r="U2333" s="4"/>
      <c r="V2333" s="4"/>
      <c r="W2333" s="4"/>
      <c r="X2333" s="4"/>
      <c r="Y2333" s="4"/>
      <c r="Z2333" s="4"/>
      <c r="AA2333" s="4"/>
      <c r="AB2333" s="4"/>
      <c r="AC2333" s="4"/>
      <c r="AD2333" s="4"/>
      <c r="AE2333" s="4"/>
      <c r="AF2333" s="4"/>
      <c r="AG2333" s="4"/>
      <c r="AH2333" s="4"/>
      <c r="AI2333" s="4"/>
      <c r="AJ2333" s="4"/>
      <c r="AK2333" s="4"/>
      <c r="AL2333" s="4"/>
      <c r="AM2333" s="4"/>
      <c r="AN2333" s="4"/>
      <c r="AO2333" s="4"/>
      <c r="AP2333" s="4"/>
      <c r="AQ2333" s="4"/>
      <c r="AR2333" s="4"/>
      <c r="AS2333" s="4"/>
      <c r="AT2333" s="4"/>
      <c r="AU2333" s="4"/>
      <c r="AV2333" s="4"/>
    </row>
    <row r="2334" spans="4:48" x14ac:dyDescent="0.3">
      <c r="D2334" s="5"/>
      <c r="E2334" s="5"/>
      <c r="F2334" s="20"/>
      <c r="G2334" s="20"/>
      <c r="H2334" s="5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4"/>
      <c r="T2334" s="4"/>
      <c r="U2334" s="4"/>
      <c r="V2334" s="4"/>
      <c r="W2334" s="4"/>
      <c r="X2334" s="4"/>
      <c r="Y2334" s="4"/>
      <c r="Z2334" s="4"/>
      <c r="AA2334" s="4"/>
      <c r="AB2334" s="4"/>
      <c r="AC2334" s="4"/>
      <c r="AD2334" s="4"/>
      <c r="AE2334" s="4"/>
      <c r="AF2334" s="4"/>
      <c r="AG2334" s="4"/>
      <c r="AH2334" s="4"/>
      <c r="AI2334" s="4"/>
      <c r="AJ2334" s="4"/>
      <c r="AK2334" s="4"/>
      <c r="AL2334" s="4"/>
      <c r="AM2334" s="4"/>
      <c r="AN2334" s="4"/>
      <c r="AO2334" s="4"/>
      <c r="AP2334" s="4"/>
      <c r="AQ2334" s="4"/>
      <c r="AR2334" s="4"/>
      <c r="AS2334" s="4"/>
      <c r="AT2334" s="4"/>
      <c r="AU2334" s="4"/>
      <c r="AV2334" s="4"/>
    </row>
    <row r="2335" spans="4:48" x14ac:dyDescent="0.3">
      <c r="D2335" s="5"/>
      <c r="E2335" s="5"/>
      <c r="F2335" s="20"/>
      <c r="G2335" s="20"/>
      <c r="H2335" s="5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4"/>
      <c r="T2335" s="4"/>
      <c r="U2335" s="4"/>
      <c r="V2335" s="4"/>
      <c r="W2335" s="4"/>
      <c r="X2335" s="4"/>
      <c r="Y2335" s="4"/>
      <c r="Z2335" s="4"/>
      <c r="AA2335" s="4"/>
      <c r="AB2335" s="4"/>
      <c r="AC2335" s="4"/>
      <c r="AD2335" s="4"/>
      <c r="AE2335" s="4"/>
      <c r="AF2335" s="4"/>
      <c r="AG2335" s="4"/>
      <c r="AH2335" s="4"/>
      <c r="AI2335" s="4"/>
      <c r="AJ2335" s="4"/>
      <c r="AK2335" s="4"/>
      <c r="AL2335" s="4"/>
      <c r="AM2335" s="4"/>
      <c r="AN2335" s="4"/>
      <c r="AO2335" s="4"/>
      <c r="AP2335" s="4"/>
      <c r="AQ2335" s="4"/>
      <c r="AR2335" s="4"/>
      <c r="AS2335" s="4"/>
      <c r="AT2335" s="4"/>
      <c r="AU2335" s="4"/>
      <c r="AV2335" s="4"/>
    </row>
    <row r="2336" spans="4:48" x14ac:dyDescent="0.3">
      <c r="D2336" s="5"/>
      <c r="E2336" s="5"/>
      <c r="F2336" s="20"/>
      <c r="G2336" s="20"/>
      <c r="H2336" s="5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4"/>
      <c r="T2336" s="4"/>
      <c r="U2336" s="4"/>
      <c r="V2336" s="4"/>
      <c r="W2336" s="4"/>
      <c r="X2336" s="4"/>
      <c r="Y2336" s="4"/>
      <c r="Z2336" s="4"/>
      <c r="AA2336" s="4"/>
      <c r="AB2336" s="4"/>
      <c r="AC2336" s="4"/>
      <c r="AD2336" s="4"/>
      <c r="AE2336" s="4"/>
      <c r="AF2336" s="4"/>
      <c r="AG2336" s="4"/>
      <c r="AH2336" s="4"/>
      <c r="AI2336" s="4"/>
      <c r="AJ2336" s="4"/>
      <c r="AK2336" s="4"/>
      <c r="AL2336" s="4"/>
      <c r="AM2336" s="4"/>
      <c r="AN2336" s="4"/>
      <c r="AO2336" s="4"/>
      <c r="AP2336" s="4"/>
      <c r="AQ2336" s="4"/>
      <c r="AR2336" s="4"/>
      <c r="AS2336" s="4"/>
      <c r="AT2336" s="4"/>
      <c r="AU2336" s="4"/>
      <c r="AV2336" s="4"/>
    </row>
    <row r="2337" spans="4:48" x14ac:dyDescent="0.3">
      <c r="D2337" s="5"/>
      <c r="E2337" s="5"/>
      <c r="F2337" s="20"/>
      <c r="G2337" s="20"/>
      <c r="H2337" s="5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4"/>
      <c r="T2337" s="4"/>
      <c r="U2337" s="4"/>
      <c r="V2337" s="4"/>
      <c r="W2337" s="4"/>
      <c r="X2337" s="4"/>
      <c r="Y2337" s="4"/>
      <c r="Z2337" s="4"/>
      <c r="AA2337" s="4"/>
      <c r="AB2337" s="4"/>
      <c r="AC2337" s="4"/>
      <c r="AD2337" s="4"/>
      <c r="AE2337" s="4"/>
      <c r="AF2337" s="4"/>
      <c r="AG2337" s="4"/>
      <c r="AH2337" s="4"/>
      <c r="AI2337" s="4"/>
      <c r="AJ2337" s="4"/>
      <c r="AK2337" s="4"/>
      <c r="AL2337" s="4"/>
      <c r="AM2337" s="4"/>
      <c r="AN2337" s="4"/>
      <c r="AO2337" s="4"/>
      <c r="AP2337" s="4"/>
      <c r="AQ2337" s="4"/>
      <c r="AR2337" s="4"/>
      <c r="AS2337" s="4"/>
      <c r="AT2337" s="4"/>
      <c r="AU2337" s="4"/>
      <c r="AV2337" s="4"/>
    </row>
    <row r="2338" spans="4:48" x14ac:dyDescent="0.3">
      <c r="D2338" s="5"/>
      <c r="E2338" s="5"/>
      <c r="F2338" s="20"/>
      <c r="G2338" s="20"/>
      <c r="H2338" s="5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4"/>
      <c r="T2338" s="4"/>
      <c r="U2338" s="4"/>
      <c r="V2338" s="4"/>
      <c r="W2338" s="4"/>
      <c r="X2338" s="4"/>
      <c r="Y2338" s="4"/>
      <c r="Z2338" s="4"/>
      <c r="AA2338" s="4"/>
      <c r="AB2338" s="4"/>
      <c r="AC2338" s="4"/>
      <c r="AD2338" s="4"/>
      <c r="AE2338" s="4"/>
      <c r="AF2338" s="4"/>
      <c r="AG2338" s="4"/>
      <c r="AH2338" s="4"/>
      <c r="AI2338" s="4"/>
      <c r="AJ2338" s="4"/>
      <c r="AK2338" s="4"/>
      <c r="AL2338" s="4"/>
      <c r="AM2338" s="4"/>
      <c r="AN2338" s="4"/>
      <c r="AO2338" s="4"/>
      <c r="AP2338" s="4"/>
      <c r="AQ2338" s="4"/>
      <c r="AR2338" s="4"/>
      <c r="AS2338" s="4"/>
      <c r="AT2338" s="4"/>
      <c r="AU2338" s="4"/>
      <c r="AV2338" s="4"/>
    </row>
    <row r="2339" spans="4:48" x14ac:dyDescent="0.3">
      <c r="D2339" s="5"/>
      <c r="E2339" s="5"/>
      <c r="F2339" s="20"/>
      <c r="G2339" s="20"/>
      <c r="H2339" s="5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4"/>
      <c r="T2339" s="4"/>
      <c r="U2339" s="4"/>
      <c r="V2339" s="4"/>
      <c r="W2339" s="4"/>
      <c r="X2339" s="4"/>
      <c r="Y2339" s="4"/>
      <c r="Z2339" s="4"/>
      <c r="AA2339" s="4"/>
      <c r="AB2339" s="4"/>
      <c r="AC2339" s="4"/>
      <c r="AD2339" s="4"/>
      <c r="AE2339" s="4"/>
      <c r="AF2339" s="4"/>
      <c r="AG2339" s="4"/>
      <c r="AH2339" s="4"/>
      <c r="AI2339" s="4"/>
      <c r="AJ2339" s="4"/>
      <c r="AK2339" s="4"/>
      <c r="AL2339" s="4"/>
      <c r="AM2339" s="4"/>
      <c r="AN2339" s="4"/>
      <c r="AO2339" s="4"/>
      <c r="AP2339" s="4"/>
      <c r="AQ2339" s="4"/>
      <c r="AR2339" s="4"/>
      <c r="AS2339" s="4"/>
      <c r="AT2339" s="4"/>
      <c r="AU2339" s="4"/>
      <c r="AV2339" s="4"/>
    </row>
    <row r="2340" spans="4:48" x14ac:dyDescent="0.3">
      <c r="D2340" s="5"/>
      <c r="E2340" s="5"/>
      <c r="F2340" s="20"/>
      <c r="G2340" s="20"/>
      <c r="H2340" s="5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4"/>
      <c r="T2340" s="4"/>
      <c r="U2340" s="4"/>
      <c r="V2340" s="4"/>
      <c r="W2340" s="4"/>
      <c r="X2340" s="4"/>
      <c r="Y2340" s="4"/>
      <c r="Z2340" s="4"/>
      <c r="AA2340" s="4"/>
      <c r="AB2340" s="4"/>
      <c r="AC2340" s="4"/>
      <c r="AD2340" s="4"/>
      <c r="AE2340" s="4"/>
      <c r="AF2340" s="4"/>
      <c r="AG2340" s="4"/>
      <c r="AH2340" s="4"/>
      <c r="AI2340" s="4"/>
      <c r="AJ2340" s="4"/>
      <c r="AK2340" s="4"/>
      <c r="AL2340" s="4"/>
      <c r="AM2340" s="4"/>
      <c r="AN2340" s="4"/>
      <c r="AO2340" s="4"/>
      <c r="AP2340" s="4"/>
      <c r="AQ2340" s="4"/>
      <c r="AR2340" s="4"/>
      <c r="AS2340" s="4"/>
      <c r="AT2340" s="4"/>
      <c r="AU2340" s="4"/>
      <c r="AV2340" s="4"/>
    </row>
    <row r="2341" spans="4:48" x14ac:dyDescent="0.3">
      <c r="D2341" s="5"/>
      <c r="E2341" s="5"/>
      <c r="F2341" s="20"/>
      <c r="G2341" s="20"/>
      <c r="H2341" s="5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4"/>
      <c r="T2341" s="4"/>
      <c r="U2341" s="4"/>
      <c r="V2341" s="4"/>
      <c r="W2341" s="4"/>
      <c r="X2341" s="4"/>
      <c r="Y2341" s="4"/>
      <c r="Z2341" s="4"/>
      <c r="AA2341" s="4"/>
      <c r="AB2341" s="4"/>
      <c r="AC2341" s="4"/>
      <c r="AD2341" s="4"/>
      <c r="AE2341" s="4"/>
      <c r="AF2341" s="4"/>
      <c r="AG2341" s="4"/>
      <c r="AH2341" s="4"/>
      <c r="AI2341" s="4"/>
      <c r="AJ2341" s="4"/>
      <c r="AK2341" s="4"/>
      <c r="AL2341" s="4"/>
      <c r="AM2341" s="4"/>
      <c r="AN2341" s="4"/>
      <c r="AO2341" s="4"/>
      <c r="AP2341" s="4"/>
      <c r="AQ2341" s="4"/>
      <c r="AR2341" s="4"/>
      <c r="AS2341" s="4"/>
      <c r="AT2341" s="4"/>
      <c r="AU2341" s="4"/>
      <c r="AV2341" s="4"/>
    </row>
    <row r="2342" spans="4:48" x14ac:dyDescent="0.3">
      <c r="D2342" s="5"/>
      <c r="E2342" s="5"/>
      <c r="F2342" s="20"/>
      <c r="G2342" s="20"/>
      <c r="H2342" s="5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4"/>
      <c r="T2342" s="4"/>
      <c r="U2342" s="4"/>
      <c r="V2342" s="4"/>
      <c r="W2342" s="4"/>
      <c r="X2342" s="4"/>
      <c r="Y2342" s="4"/>
      <c r="Z2342" s="4"/>
      <c r="AA2342" s="4"/>
      <c r="AB2342" s="4"/>
      <c r="AC2342" s="4"/>
      <c r="AD2342" s="4"/>
      <c r="AE2342" s="4"/>
      <c r="AF2342" s="4"/>
      <c r="AG2342" s="4"/>
      <c r="AH2342" s="4"/>
      <c r="AI2342" s="4"/>
      <c r="AJ2342" s="4"/>
      <c r="AK2342" s="4"/>
      <c r="AL2342" s="4"/>
      <c r="AM2342" s="4"/>
      <c r="AN2342" s="4"/>
      <c r="AO2342" s="4"/>
      <c r="AP2342" s="4"/>
      <c r="AQ2342" s="4"/>
      <c r="AR2342" s="4"/>
      <c r="AS2342" s="4"/>
      <c r="AT2342" s="4"/>
      <c r="AU2342" s="4"/>
      <c r="AV2342" s="4"/>
    </row>
    <row r="2343" spans="4:48" x14ac:dyDescent="0.3">
      <c r="D2343" s="5"/>
      <c r="E2343" s="5"/>
      <c r="F2343" s="20"/>
      <c r="G2343" s="20"/>
      <c r="H2343" s="5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4"/>
      <c r="T2343" s="4"/>
      <c r="U2343" s="4"/>
      <c r="V2343" s="4"/>
      <c r="W2343" s="4"/>
      <c r="X2343" s="4"/>
      <c r="Y2343" s="4"/>
      <c r="Z2343" s="4"/>
      <c r="AA2343" s="4"/>
      <c r="AB2343" s="4"/>
      <c r="AC2343" s="4"/>
      <c r="AD2343" s="4"/>
      <c r="AE2343" s="4"/>
      <c r="AF2343" s="4"/>
      <c r="AG2343" s="4"/>
      <c r="AH2343" s="4"/>
      <c r="AI2343" s="4"/>
      <c r="AJ2343" s="4"/>
      <c r="AK2343" s="4"/>
      <c r="AL2343" s="4"/>
      <c r="AM2343" s="4"/>
      <c r="AN2343" s="4"/>
      <c r="AO2343" s="4"/>
      <c r="AP2343" s="4"/>
      <c r="AQ2343" s="4"/>
      <c r="AR2343" s="4"/>
      <c r="AS2343" s="4"/>
      <c r="AT2343" s="4"/>
      <c r="AU2343" s="4"/>
      <c r="AV2343" s="4"/>
    </row>
    <row r="2344" spans="4:48" x14ac:dyDescent="0.3">
      <c r="D2344" s="5"/>
      <c r="E2344" s="5"/>
      <c r="F2344" s="20"/>
      <c r="G2344" s="20"/>
      <c r="H2344" s="5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4"/>
      <c r="T2344" s="4"/>
      <c r="U2344" s="4"/>
      <c r="V2344" s="4"/>
      <c r="W2344" s="4"/>
      <c r="X2344" s="4"/>
      <c r="Y2344" s="4"/>
      <c r="Z2344" s="4"/>
      <c r="AA2344" s="4"/>
      <c r="AB2344" s="4"/>
      <c r="AC2344" s="4"/>
      <c r="AD2344" s="4"/>
      <c r="AE2344" s="4"/>
      <c r="AF2344" s="4"/>
      <c r="AG2344" s="4"/>
      <c r="AH2344" s="4"/>
      <c r="AI2344" s="4"/>
      <c r="AJ2344" s="4"/>
      <c r="AK2344" s="4"/>
      <c r="AL2344" s="4"/>
      <c r="AM2344" s="4"/>
      <c r="AN2344" s="4"/>
      <c r="AO2344" s="4"/>
      <c r="AP2344" s="4"/>
      <c r="AQ2344" s="4"/>
      <c r="AR2344" s="4"/>
      <c r="AS2344" s="4"/>
      <c r="AT2344" s="4"/>
      <c r="AU2344" s="4"/>
      <c r="AV2344" s="4"/>
    </row>
    <row r="2345" spans="4:48" x14ac:dyDescent="0.3">
      <c r="D2345" s="5"/>
      <c r="E2345" s="5"/>
      <c r="F2345" s="20"/>
      <c r="G2345" s="20"/>
      <c r="H2345" s="5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4"/>
      <c r="T2345" s="4"/>
      <c r="U2345" s="4"/>
      <c r="V2345" s="4"/>
      <c r="W2345" s="4"/>
      <c r="X2345" s="4"/>
      <c r="Y2345" s="4"/>
      <c r="Z2345" s="4"/>
      <c r="AA2345" s="4"/>
      <c r="AB2345" s="4"/>
      <c r="AC2345" s="4"/>
      <c r="AD2345" s="4"/>
      <c r="AE2345" s="4"/>
      <c r="AF2345" s="4"/>
      <c r="AG2345" s="4"/>
      <c r="AH2345" s="4"/>
      <c r="AI2345" s="4"/>
      <c r="AJ2345" s="4"/>
      <c r="AK2345" s="4"/>
      <c r="AL2345" s="4"/>
      <c r="AM2345" s="4"/>
      <c r="AN2345" s="4"/>
      <c r="AO2345" s="4"/>
      <c r="AP2345" s="4"/>
      <c r="AQ2345" s="4"/>
      <c r="AR2345" s="4"/>
      <c r="AS2345" s="4"/>
      <c r="AT2345" s="4"/>
      <c r="AU2345" s="4"/>
      <c r="AV2345" s="4"/>
    </row>
    <row r="2346" spans="4:48" x14ac:dyDescent="0.3">
      <c r="D2346" s="5"/>
      <c r="E2346" s="5"/>
      <c r="F2346" s="20"/>
      <c r="G2346" s="20"/>
      <c r="H2346" s="5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4"/>
      <c r="T2346" s="4"/>
      <c r="U2346" s="4"/>
      <c r="V2346" s="4"/>
      <c r="W2346" s="4"/>
      <c r="X2346" s="4"/>
      <c r="Y2346" s="4"/>
      <c r="Z2346" s="4"/>
      <c r="AA2346" s="4"/>
      <c r="AB2346" s="4"/>
      <c r="AC2346" s="4"/>
      <c r="AD2346" s="4"/>
      <c r="AE2346" s="4"/>
      <c r="AF2346" s="4"/>
      <c r="AG2346" s="4"/>
      <c r="AH2346" s="4"/>
      <c r="AI2346" s="4"/>
      <c r="AJ2346" s="4"/>
      <c r="AK2346" s="4"/>
      <c r="AL2346" s="4"/>
      <c r="AM2346" s="4"/>
      <c r="AN2346" s="4"/>
      <c r="AO2346" s="4"/>
      <c r="AP2346" s="4"/>
      <c r="AQ2346" s="4"/>
      <c r="AR2346" s="4"/>
      <c r="AS2346" s="4"/>
      <c r="AT2346" s="4"/>
      <c r="AU2346" s="4"/>
      <c r="AV2346" s="4"/>
    </row>
    <row r="2347" spans="4:48" x14ac:dyDescent="0.3">
      <c r="D2347" s="5"/>
      <c r="E2347" s="5"/>
      <c r="F2347" s="20"/>
      <c r="G2347" s="20"/>
      <c r="H2347" s="5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4"/>
      <c r="T2347" s="4"/>
      <c r="U2347" s="4"/>
      <c r="V2347" s="4"/>
      <c r="W2347" s="4"/>
      <c r="X2347" s="4"/>
      <c r="Y2347" s="4"/>
      <c r="Z2347" s="4"/>
      <c r="AA2347" s="4"/>
      <c r="AB2347" s="4"/>
      <c r="AC2347" s="4"/>
      <c r="AD2347" s="4"/>
      <c r="AE2347" s="4"/>
      <c r="AF2347" s="4"/>
      <c r="AG2347" s="4"/>
      <c r="AH2347" s="4"/>
      <c r="AI2347" s="4"/>
      <c r="AJ2347" s="4"/>
      <c r="AK2347" s="4"/>
      <c r="AL2347" s="4"/>
      <c r="AM2347" s="4"/>
      <c r="AN2347" s="4"/>
      <c r="AO2347" s="4"/>
      <c r="AP2347" s="4"/>
      <c r="AQ2347" s="4"/>
      <c r="AR2347" s="4"/>
      <c r="AS2347" s="4"/>
      <c r="AT2347" s="4"/>
      <c r="AU2347" s="4"/>
      <c r="AV2347" s="4"/>
    </row>
    <row r="2348" spans="4:48" x14ac:dyDescent="0.3">
      <c r="D2348" s="5"/>
      <c r="E2348" s="5"/>
      <c r="F2348" s="20"/>
      <c r="G2348" s="20"/>
      <c r="H2348" s="5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4"/>
      <c r="T2348" s="4"/>
      <c r="U2348" s="4"/>
      <c r="V2348" s="4"/>
      <c r="W2348" s="4"/>
      <c r="X2348" s="4"/>
      <c r="Y2348" s="4"/>
      <c r="Z2348" s="4"/>
      <c r="AA2348" s="4"/>
      <c r="AB2348" s="4"/>
      <c r="AC2348" s="4"/>
      <c r="AD2348" s="4"/>
      <c r="AE2348" s="4"/>
      <c r="AF2348" s="4"/>
      <c r="AG2348" s="4"/>
      <c r="AH2348" s="4"/>
      <c r="AI2348" s="4"/>
      <c r="AJ2348" s="4"/>
      <c r="AK2348" s="4"/>
      <c r="AL2348" s="4"/>
      <c r="AM2348" s="4"/>
      <c r="AN2348" s="4"/>
      <c r="AO2348" s="4"/>
      <c r="AP2348" s="4"/>
      <c r="AQ2348" s="4"/>
      <c r="AR2348" s="4"/>
      <c r="AS2348" s="4"/>
      <c r="AT2348" s="4"/>
      <c r="AU2348" s="4"/>
      <c r="AV2348" s="4"/>
    </row>
    <row r="2349" spans="4:48" x14ac:dyDescent="0.3">
      <c r="D2349" s="5"/>
      <c r="E2349" s="5"/>
      <c r="F2349" s="20"/>
      <c r="G2349" s="20"/>
      <c r="H2349" s="5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4"/>
      <c r="T2349" s="4"/>
      <c r="U2349" s="4"/>
      <c r="V2349" s="4"/>
      <c r="W2349" s="4"/>
      <c r="X2349" s="4"/>
      <c r="Y2349" s="4"/>
      <c r="Z2349" s="4"/>
      <c r="AA2349" s="4"/>
      <c r="AB2349" s="4"/>
      <c r="AC2349" s="4"/>
      <c r="AD2349" s="4"/>
      <c r="AE2349" s="4"/>
      <c r="AF2349" s="4"/>
      <c r="AG2349" s="4"/>
      <c r="AH2349" s="4"/>
      <c r="AI2349" s="4"/>
      <c r="AJ2349" s="4"/>
      <c r="AK2349" s="4"/>
      <c r="AL2349" s="4"/>
      <c r="AM2349" s="4"/>
      <c r="AN2349" s="4"/>
      <c r="AO2349" s="4"/>
      <c r="AP2349" s="4"/>
      <c r="AQ2349" s="4"/>
      <c r="AR2349" s="4"/>
      <c r="AS2349" s="4"/>
      <c r="AT2349" s="4"/>
      <c r="AU2349" s="4"/>
      <c r="AV2349" s="4"/>
    </row>
    <row r="2350" spans="4:48" x14ac:dyDescent="0.3">
      <c r="D2350" s="5"/>
      <c r="E2350" s="5"/>
      <c r="F2350" s="20"/>
      <c r="G2350" s="20"/>
      <c r="H2350" s="5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4"/>
      <c r="T2350" s="4"/>
      <c r="U2350" s="4"/>
      <c r="V2350" s="4"/>
      <c r="W2350" s="4"/>
      <c r="X2350" s="4"/>
      <c r="Y2350" s="4"/>
      <c r="Z2350" s="4"/>
      <c r="AA2350" s="4"/>
      <c r="AB2350" s="4"/>
      <c r="AC2350" s="4"/>
      <c r="AD2350" s="4"/>
      <c r="AE2350" s="4"/>
      <c r="AF2350" s="4"/>
      <c r="AG2350" s="4"/>
      <c r="AH2350" s="4"/>
      <c r="AI2350" s="4"/>
      <c r="AJ2350" s="4"/>
      <c r="AK2350" s="4"/>
      <c r="AL2350" s="4"/>
      <c r="AM2350" s="4"/>
      <c r="AN2350" s="4"/>
      <c r="AO2350" s="4"/>
      <c r="AP2350" s="4"/>
      <c r="AQ2350" s="4"/>
      <c r="AR2350" s="4"/>
      <c r="AS2350" s="4"/>
      <c r="AT2350" s="4"/>
      <c r="AU2350" s="4"/>
      <c r="AV2350" s="4"/>
    </row>
    <row r="2351" spans="4:48" x14ac:dyDescent="0.3">
      <c r="D2351" s="5"/>
      <c r="E2351" s="5"/>
      <c r="F2351" s="20"/>
      <c r="G2351" s="20"/>
      <c r="H2351" s="5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4"/>
      <c r="T2351" s="4"/>
      <c r="U2351" s="4"/>
      <c r="V2351" s="4"/>
      <c r="W2351" s="4"/>
      <c r="X2351" s="4"/>
      <c r="Y2351" s="4"/>
      <c r="Z2351" s="4"/>
      <c r="AA2351" s="4"/>
      <c r="AB2351" s="4"/>
      <c r="AC2351" s="4"/>
      <c r="AD2351" s="4"/>
      <c r="AE2351" s="4"/>
      <c r="AF2351" s="4"/>
      <c r="AG2351" s="4"/>
      <c r="AH2351" s="4"/>
      <c r="AI2351" s="4"/>
      <c r="AJ2351" s="4"/>
      <c r="AK2351" s="4"/>
      <c r="AL2351" s="4"/>
      <c r="AM2351" s="4"/>
      <c r="AN2351" s="4"/>
      <c r="AO2351" s="4"/>
      <c r="AP2351" s="4"/>
      <c r="AQ2351" s="4"/>
      <c r="AR2351" s="4"/>
      <c r="AS2351" s="4"/>
      <c r="AT2351" s="4"/>
      <c r="AU2351" s="4"/>
      <c r="AV2351" s="4"/>
    </row>
    <row r="2352" spans="4:48" x14ac:dyDescent="0.3">
      <c r="D2352" s="5"/>
      <c r="E2352" s="5"/>
      <c r="F2352" s="20"/>
      <c r="G2352" s="20"/>
      <c r="H2352" s="5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4"/>
      <c r="T2352" s="4"/>
      <c r="U2352" s="4"/>
      <c r="V2352" s="4"/>
      <c r="W2352" s="4"/>
      <c r="X2352" s="4"/>
      <c r="Y2352" s="4"/>
      <c r="Z2352" s="4"/>
      <c r="AA2352" s="4"/>
      <c r="AB2352" s="4"/>
      <c r="AC2352" s="4"/>
      <c r="AD2352" s="4"/>
      <c r="AE2352" s="4"/>
      <c r="AF2352" s="4"/>
      <c r="AG2352" s="4"/>
      <c r="AH2352" s="4"/>
      <c r="AI2352" s="4"/>
      <c r="AJ2352" s="4"/>
      <c r="AK2352" s="4"/>
      <c r="AL2352" s="4"/>
      <c r="AM2352" s="4"/>
      <c r="AN2352" s="4"/>
      <c r="AO2352" s="4"/>
      <c r="AP2352" s="4"/>
      <c r="AQ2352" s="4"/>
      <c r="AR2352" s="4"/>
      <c r="AS2352" s="4"/>
      <c r="AT2352" s="4"/>
      <c r="AU2352" s="4"/>
      <c r="AV2352" s="4"/>
    </row>
    <row r="2353" spans="4:48" x14ac:dyDescent="0.3">
      <c r="D2353" s="5"/>
      <c r="E2353" s="5"/>
      <c r="F2353" s="20"/>
      <c r="G2353" s="20"/>
      <c r="H2353" s="5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4"/>
      <c r="T2353" s="4"/>
      <c r="U2353" s="4"/>
      <c r="V2353" s="4"/>
      <c r="W2353" s="4"/>
      <c r="X2353" s="4"/>
      <c r="Y2353" s="4"/>
      <c r="Z2353" s="4"/>
      <c r="AA2353" s="4"/>
      <c r="AB2353" s="4"/>
      <c r="AC2353" s="4"/>
      <c r="AD2353" s="4"/>
      <c r="AE2353" s="4"/>
      <c r="AF2353" s="4"/>
      <c r="AG2353" s="4"/>
      <c r="AH2353" s="4"/>
      <c r="AI2353" s="4"/>
      <c r="AJ2353" s="4"/>
      <c r="AK2353" s="4"/>
      <c r="AL2353" s="4"/>
      <c r="AM2353" s="4"/>
      <c r="AN2353" s="4"/>
      <c r="AO2353" s="4"/>
      <c r="AP2353" s="4"/>
      <c r="AQ2353" s="4"/>
      <c r="AR2353" s="4"/>
      <c r="AS2353" s="4"/>
      <c r="AT2353" s="4"/>
      <c r="AU2353" s="4"/>
      <c r="AV2353" s="4"/>
    </row>
    <row r="2354" spans="4:48" x14ac:dyDescent="0.3">
      <c r="D2354" s="5"/>
      <c r="E2354" s="5"/>
      <c r="F2354" s="20"/>
      <c r="G2354" s="20"/>
      <c r="H2354" s="5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4"/>
      <c r="T2354" s="4"/>
      <c r="U2354" s="4"/>
      <c r="V2354" s="4"/>
      <c r="W2354" s="4"/>
      <c r="X2354" s="4"/>
      <c r="Y2354" s="4"/>
      <c r="Z2354" s="4"/>
      <c r="AA2354" s="4"/>
      <c r="AB2354" s="4"/>
      <c r="AC2354" s="4"/>
      <c r="AD2354" s="4"/>
      <c r="AE2354" s="4"/>
      <c r="AF2354" s="4"/>
      <c r="AG2354" s="4"/>
      <c r="AH2354" s="4"/>
      <c r="AI2354" s="4"/>
      <c r="AJ2354" s="4"/>
      <c r="AK2354" s="4"/>
      <c r="AL2354" s="4"/>
      <c r="AM2354" s="4"/>
      <c r="AN2354" s="4"/>
      <c r="AO2354" s="4"/>
      <c r="AP2354" s="4"/>
      <c r="AQ2354" s="4"/>
      <c r="AR2354" s="4"/>
      <c r="AS2354" s="4"/>
      <c r="AT2354" s="4"/>
      <c r="AU2354" s="4"/>
      <c r="AV2354" s="4"/>
    </row>
    <row r="2355" spans="4:48" x14ac:dyDescent="0.3">
      <c r="D2355" s="5"/>
      <c r="E2355" s="5"/>
      <c r="F2355" s="20"/>
      <c r="G2355" s="20"/>
      <c r="H2355" s="5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4"/>
      <c r="T2355" s="4"/>
      <c r="U2355" s="4"/>
      <c r="V2355" s="4"/>
      <c r="W2355" s="4"/>
      <c r="X2355" s="4"/>
      <c r="Y2355" s="4"/>
      <c r="Z2355" s="4"/>
      <c r="AA2355" s="4"/>
      <c r="AB2355" s="4"/>
      <c r="AC2355" s="4"/>
      <c r="AD2355" s="4"/>
      <c r="AE2355" s="4"/>
      <c r="AF2355" s="4"/>
      <c r="AG2355" s="4"/>
      <c r="AH2355" s="4"/>
      <c r="AI2355" s="4"/>
      <c r="AJ2355" s="4"/>
      <c r="AK2355" s="4"/>
      <c r="AL2355" s="4"/>
      <c r="AM2355" s="4"/>
      <c r="AN2355" s="4"/>
      <c r="AO2355" s="4"/>
      <c r="AP2355" s="4"/>
      <c r="AQ2355" s="4"/>
      <c r="AR2355" s="4"/>
      <c r="AS2355" s="4"/>
      <c r="AT2355" s="4"/>
      <c r="AU2355" s="4"/>
      <c r="AV2355" s="4"/>
    </row>
    <row r="2356" spans="4:48" x14ac:dyDescent="0.3">
      <c r="D2356" s="5"/>
      <c r="E2356" s="5"/>
      <c r="F2356" s="20"/>
      <c r="G2356" s="20"/>
      <c r="H2356" s="5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4"/>
      <c r="T2356" s="4"/>
      <c r="U2356" s="4"/>
      <c r="V2356" s="4"/>
      <c r="W2356" s="4"/>
      <c r="X2356" s="4"/>
      <c r="Y2356" s="4"/>
      <c r="Z2356" s="4"/>
      <c r="AA2356" s="4"/>
      <c r="AB2356" s="4"/>
      <c r="AC2356" s="4"/>
      <c r="AD2356" s="4"/>
      <c r="AE2356" s="4"/>
      <c r="AF2356" s="4"/>
      <c r="AG2356" s="4"/>
      <c r="AH2356" s="4"/>
      <c r="AI2356" s="4"/>
      <c r="AJ2356" s="4"/>
      <c r="AK2356" s="4"/>
      <c r="AL2356" s="4"/>
      <c r="AM2356" s="4"/>
      <c r="AN2356" s="4"/>
      <c r="AO2356" s="4"/>
      <c r="AP2356" s="4"/>
      <c r="AQ2356" s="4"/>
      <c r="AR2356" s="4"/>
      <c r="AS2356" s="4"/>
      <c r="AT2356" s="4"/>
      <c r="AU2356" s="4"/>
      <c r="AV2356" s="4"/>
    </row>
    <row r="2357" spans="4:48" x14ac:dyDescent="0.3">
      <c r="D2357" s="5"/>
      <c r="E2357" s="5"/>
      <c r="F2357" s="20"/>
      <c r="G2357" s="20"/>
      <c r="H2357" s="5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4"/>
      <c r="T2357" s="4"/>
      <c r="U2357" s="4"/>
      <c r="V2357" s="4"/>
      <c r="W2357" s="4"/>
      <c r="X2357" s="4"/>
      <c r="Y2357" s="4"/>
      <c r="Z2357" s="4"/>
      <c r="AA2357" s="4"/>
      <c r="AB2357" s="4"/>
      <c r="AC2357" s="4"/>
      <c r="AD2357" s="4"/>
      <c r="AE2357" s="4"/>
      <c r="AF2357" s="4"/>
      <c r="AG2357" s="4"/>
      <c r="AH2357" s="4"/>
      <c r="AI2357" s="4"/>
      <c r="AJ2357" s="4"/>
      <c r="AK2357" s="4"/>
      <c r="AL2357" s="4"/>
      <c r="AM2357" s="4"/>
      <c r="AN2357" s="4"/>
      <c r="AO2357" s="4"/>
      <c r="AP2357" s="4"/>
      <c r="AQ2357" s="4"/>
      <c r="AR2357" s="4"/>
      <c r="AS2357" s="4"/>
      <c r="AT2357" s="4"/>
      <c r="AU2357" s="4"/>
      <c r="AV2357" s="4"/>
    </row>
    <row r="2358" spans="4:48" x14ac:dyDescent="0.3">
      <c r="D2358" s="5"/>
      <c r="E2358" s="5"/>
      <c r="F2358" s="20"/>
      <c r="G2358" s="20"/>
      <c r="H2358" s="5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4"/>
      <c r="T2358" s="4"/>
      <c r="U2358" s="4"/>
      <c r="V2358" s="4"/>
      <c r="W2358" s="4"/>
      <c r="X2358" s="4"/>
      <c r="Y2358" s="4"/>
      <c r="Z2358" s="4"/>
      <c r="AA2358" s="4"/>
      <c r="AB2358" s="4"/>
      <c r="AC2358" s="4"/>
      <c r="AD2358" s="4"/>
      <c r="AE2358" s="4"/>
      <c r="AF2358" s="4"/>
      <c r="AG2358" s="4"/>
      <c r="AH2358" s="4"/>
      <c r="AI2358" s="4"/>
      <c r="AJ2358" s="4"/>
      <c r="AK2358" s="4"/>
      <c r="AL2358" s="4"/>
      <c r="AM2358" s="4"/>
      <c r="AN2358" s="4"/>
      <c r="AO2358" s="4"/>
      <c r="AP2358" s="4"/>
      <c r="AQ2358" s="4"/>
      <c r="AR2358" s="4"/>
      <c r="AS2358" s="4"/>
      <c r="AT2358" s="4"/>
      <c r="AU2358" s="4"/>
      <c r="AV2358" s="4"/>
    </row>
    <row r="2359" spans="4:48" x14ac:dyDescent="0.3">
      <c r="D2359" s="5"/>
      <c r="E2359" s="5"/>
      <c r="F2359" s="20"/>
      <c r="G2359" s="20"/>
      <c r="H2359" s="5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4"/>
      <c r="T2359" s="4"/>
      <c r="U2359" s="4"/>
      <c r="V2359" s="4"/>
      <c r="W2359" s="4"/>
      <c r="X2359" s="4"/>
      <c r="Y2359" s="4"/>
      <c r="Z2359" s="4"/>
      <c r="AA2359" s="4"/>
      <c r="AB2359" s="4"/>
      <c r="AC2359" s="4"/>
      <c r="AD2359" s="4"/>
      <c r="AE2359" s="4"/>
      <c r="AF2359" s="4"/>
      <c r="AG2359" s="4"/>
      <c r="AH2359" s="4"/>
      <c r="AI2359" s="4"/>
      <c r="AJ2359" s="4"/>
      <c r="AK2359" s="4"/>
      <c r="AL2359" s="4"/>
      <c r="AM2359" s="4"/>
      <c r="AN2359" s="4"/>
      <c r="AO2359" s="4"/>
      <c r="AP2359" s="4"/>
      <c r="AQ2359" s="4"/>
      <c r="AR2359" s="4"/>
      <c r="AS2359" s="4"/>
      <c r="AT2359" s="4"/>
      <c r="AU2359" s="4"/>
      <c r="AV2359" s="4"/>
    </row>
    <row r="2360" spans="4:48" x14ac:dyDescent="0.3">
      <c r="D2360" s="5"/>
      <c r="E2360" s="5"/>
      <c r="F2360" s="20"/>
      <c r="G2360" s="20"/>
      <c r="H2360" s="5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4"/>
      <c r="T2360" s="4"/>
      <c r="U2360" s="4"/>
      <c r="V2360" s="4"/>
      <c r="W2360" s="4"/>
      <c r="X2360" s="4"/>
      <c r="Y2360" s="4"/>
      <c r="Z2360" s="4"/>
      <c r="AA2360" s="4"/>
      <c r="AB2360" s="4"/>
      <c r="AC2360" s="4"/>
      <c r="AD2360" s="4"/>
      <c r="AE2360" s="4"/>
      <c r="AF2360" s="4"/>
      <c r="AG2360" s="4"/>
      <c r="AH2360" s="4"/>
      <c r="AI2360" s="4"/>
      <c r="AJ2360" s="4"/>
      <c r="AK2360" s="4"/>
      <c r="AL2360" s="4"/>
      <c r="AM2360" s="4"/>
      <c r="AN2360" s="4"/>
      <c r="AO2360" s="4"/>
      <c r="AP2360" s="4"/>
      <c r="AQ2360" s="4"/>
      <c r="AR2360" s="4"/>
      <c r="AS2360" s="4"/>
      <c r="AT2360" s="4"/>
      <c r="AU2360" s="4"/>
      <c r="AV2360" s="4"/>
    </row>
    <row r="2361" spans="4:48" x14ac:dyDescent="0.3">
      <c r="D2361" s="5"/>
      <c r="E2361" s="5"/>
      <c r="F2361" s="20"/>
      <c r="G2361" s="20"/>
      <c r="H2361" s="5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4"/>
      <c r="T2361" s="4"/>
      <c r="U2361" s="4"/>
      <c r="V2361" s="4"/>
      <c r="W2361" s="4"/>
      <c r="X2361" s="4"/>
      <c r="Y2361" s="4"/>
      <c r="Z2361" s="4"/>
      <c r="AA2361" s="4"/>
      <c r="AB2361" s="4"/>
      <c r="AC2361" s="4"/>
      <c r="AD2361" s="4"/>
      <c r="AE2361" s="4"/>
      <c r="AF2361" s="4"/>
      <c r="AG2361" s="4"/>
      <c r="AH2361" s="4"/>
      <c r="AI2361" s="4"/>
      <c r="AJ2361" s="4"/>
      <c r="AK2361" s="4"/>
      <c r="AL2361" s="4"/>
      <c r="AM2361" s="4"/>
      <c r="AN2361" s="4"/>
      <c r="AO2361" s="4"/>
      <c r="AP2361" s="4"/>
      <c r="AQ2361" s="4"/>
      <c r="AR2361" s="4"/>
      <c r="AS2361" s="4"/>
      <c r="AT2361" s="4"/>
      <c r="AU2361" s="4"/>
      <c r="AV2361" s="4"/>
    </row>
    <row r="2362" spans="4:48" x14ac:dyDescent="0.3">
      <c r="D2362" s="5"/>
      <c r="E2362" s="5"/>
      <c r="F2362" s="20"/>
      <c r="G2362" s="20"/>
      <c r="H2362" s="5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4"/>
      <c r="T2362" s="4"/>
      <c r="U2362" s="4"/>
      <c r="V2362" s="4"/>
      <c r="W2362" s="4"/>
      <c r="X2362" s="4"/>
      <c r="Y2362" s="4"/>
      <c r="Z2362" s="4"/>
      <c r="AA2362" s="4"/>
      <c r="AB2362" s="4"/>
      <c r="AC2362" s="4"/>
      <c r="AD2362" s="4"/>
      <c r="AE2362" s="4"/>
      <c r="AF2362" s="4"/>
      <c r="AG2362" s="4"/>
      <c r="AH2362" s="4"/>
      <c r="AI2362" s="4"/>
      <c r="AJ2362" s="4"/>
      <c r="AK2362" s="4"/>
      <c r="AL2362" s="4"/>
      <c r="AM2362" s="4"/>
      <c r="AN2362" s="4"/>
      <c r="AO2362" s="4"/>
      <c r="AP2362" s="4"/>
      <c r="AQ2362" s="4"/>
      <c r="AR2362" s="4"/>
      <c r="AS2362" s="4"/>
      <c r="AT2362" s="4"/>
      <c r="AU2362" s="4"/>
      <c r="AV2362" s="4"/>
    </row>
    <row r="2363" spans="4:48" x14ac:dyDescent="0.3">
      <c r="D2363" s="5"/>
      <c r="E2363" s="5"/>
      <c r="F2363" s="20"/>
      <c r="G2363" s="20"/>
      <c r="H2363" s="5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4"/>
      <c r="T2363" s="4"/>
      <c r="U2363" s="4"/>
      <c r="V2363" s="4"/>
      <c r="W2363" s="4"/>
      <c r="X2363" s="4"/>
      <c r="Y2363" s="4"/>
      <c r="Z2363" s="4"/>
      <c r="AA2363" s="4"/>
      <c r="AB2363" s="4"/>
      <c r="AC2363" s="4"/>
      <c r="AD2363" s="4"/>
      <c r="AE2363" s="4"/>
      <c r="AF2363" s="4"/>
      <c r="AG2363" s="4"/>
      <c r="AH2363" s="4"/>
      <c r="AI2363" s="4"/>
      <c r="AJ2363" s="4"/>
      <c r="AK2363" s="4"/>
      <c r="AL2363" s="4"/>
      <c r="AM2363" s="4"/>
      <c r="AN2363" s="4"/>
      <c r="AO2363" s="4"/>
      <c r="AP2363" s="4"/>
      <c r="AQ2363" s="4"/>
      <c r="AR2363" s="4"/>
      <c r="AS2363" s="4"/>
      <c r="AT2363" s="4"/>
      <c r="AU2363" s="4"/>
      <c r="AV2363" s="4"/>
    </row>
    <row r="2364" spans="4:48" x14ac:dyDescent="0.3">
      <c r="D2364" s="5"/>
      <c r="E2364" s="5"/>
      <c r="F2364" s="20"/>
      <c r="G2364" s="20"/>
      <c r="H2364" s="5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4"/>
      <c r="T2364" s="4"/>
      <c r="U2364" s="4"/>
      <c r="V2364" s="4"/>
      <c r="W2364" s="4"/>
      <c r="X2364" s="4"/>
      <c r="Y2364" s="4"/>
      <c r="Z2364" s="4"/>
      <c r="AA2364" s="4"/>
      <c r="AB2364" s="4"/>
      <c r="AC2364" s="4"/>
      <c r="AD2364" s="4"/>
      <c r="AE2364" s="4"/>
      <c r="AF2364" s="4"/>
      <c r="AG2364" s="4"/>
      <c r="AH2364" s="4"/>
      <c r="AI2364" s="4"/>
      <c r="AJ2364" s="4"/>
      <c r="AK2364" s="4"/>
      <c r="AL2364" s="4"/>
      <c r="AM2364" s="4"/>
      <c r="AN2364" s="4"/>
      <c r="AO2364" s="4"/>
      <c r="AP2364" s="4"/>
      <c r="AQ2364" s="4"/>
      <c r="AR2364" s="4"/>
      <c r="AS2364" s="4"/>
      <c r="AT2364" s="4"/>
      <c r="AU2364" s="4"/>
      <c r="AV2364" s="4"/>
    </row>
    <row r="2365" spans="4:48" x14ac:dyDescent="0.3">
      <c r="D2365" s="5"/>
      <c r="E2365" s="5"/>
      <c r="F2365" s="20"/>
      <c r="G2365" s="20"/>
      <c r="H2365" s="5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4"/>
      <c r="T2365" s="4"/>
      <c r="U2365" s="4"/>
      <c r="V2365" s="4"/>
      <c r="W2365" s="4"/>
      <c r="X2365" s="4"/>
      <c r="Y2365" s="4"/>
      <c r="Z2365" s="4"/>
      <c r="AA2365" s="4"/>
      <c r="AB2365" s="4"/>
      <c r="AC2365" s="4"/>
      <c r="AD2365" s="4"/>
      <c r="AE2365" s="4"/>
      <c r="AF2365" s="4"/>
      <c r="AG2365" s="4"/>
      <c r="AH2365" s="4"/>
      <c r="AI2365" s="4"/>
      <c r="AJ2365" s="4"/>
      <c r="AK2365" s="4"/>
      <c r="AL2365" s="4"/>
      <c r="AM2365" s="4"/>
      <c r="AN2365" s="4"/>
      <c r="AO2365" s="4"/>
      <c r="AP2365" s="4"/>
      <c r="AQ2365" s="4"/>
      <c r="AR2365" s="4"/>
      <c r="AS2365" s="4"/>
      <c r="AT2365" s="4"/>
      <c r="AU2365" s="4"/>
      <c r="AV2365" s="4"/>
    </row>
    <row r="2366" spans="4:48" x14ac:dyDescent="0.3">
      <c r="D2366" s="5"/>
      <c r="E2366" s="5"/>
      <c r="F2366" s="20"/>
      <c r="G2366" s="20"/>
      <c r="H2366" s="5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4"/>
      <c r="T2366" s="4"/>
      <c r="U2366" s="4"/>
      <c r="V2366" s="4"/>
      <c r="W2366" s="4"/>
      <c r="X2366" s="4"/>
      <c r="Y2366" s="4"/>
      <c r="Z2366" s="4"/>
      <c r="AA2366" s="4"/>
      <c r="AB2366" s="4"/>
      <c r="AC2366" s="4"/>
      <c r="AD2366" s="4"/>
      <c r="AE2366" s="4"/>
      <c r="AF2366" s="4"/>
      <c r="AG2366" s="4"/>
      <c r="AH2366" s="4"/>
      <c r="AI2366" s="4"/>
      <c r="AJ2366" s="4"/>
      <c r="AK2366" s="4"/>
      <c r="AL2366" s="4"/>
      <c r="AM2366" s="4"/>
      <c r="AN2366" s="4"/>
      <c r="AO2366" s="4"/>
      <c r="AP2366" s="4"/>
      <c r="AQ2366" s="4"/>
      <c r="AR2366" s="4"/>
      <c r="AS2366" s="4"/>
      <c r="AT2366" s="4"/>
      <c r="AU2366" s="4"/>
      <c r="AV2366" s="4"/>
    </row>
    <row r="2367" spans="4:48" x14ac:dyDescent="0.3">
      <c r="D2367" s="5"/>
      <c r="E2367" s="5"/>
      <c r="F2367" s="20"/>
      <c r="G2367" s="20"/>
      <c r="H2367" s="5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4"/>
      <c r="T2367" s="4"/>
      <c r="U2367" s="4"/>
      <c r="V2367" s="4"/>
      <c r="W2367" s="4"/>
      <c r="X2367" s="4"/>
      <c r="Y2367" s="4"/>
      <c r="Z2367" s="4"/>
      <c r="AA2367" s="4"/>
      <c r="AB2367" s="4"/>
      <c r="AC2367" s="4"/>
      <c r="AD2367" s="4"/>
      <c r="AE2367" s="4"/>
      <c r="AF2367" s="4"/>
      <c r="AG2367" s="4"/>
      <c r="AH2367" s="4"/>
      <c r="AI2367" s="4"/>
      <c r="AJ2367" s="4"/>
      <c r="AK2367" s="4"/>
      <c r="AL2367" s="4"/>
      <c r="AM2367" s="4"/>
      <c r="AN2367" s="4"/>
      <c r="AO2367" s="4"/>
      <c r="AP2367" s="4"/>
      <c r="AQ2367" s="4"/>
      <c r="AR2367" s="4"/>
      <c r="AS2367" s="4"/>
      <c r="AT2367" s="4"/>
      <c r="AU2367" s="4"/>
      <c r="AV2367" s="4"/>
    </row>
    <row r="2368" spans="4:48" x14ac:dyDescent="0.3">
      <c r="D2368" s="5"/>
      <c r="E2368" s="5"/>
      <c r="F2368" s="20"/>
      <c r="G2368" s="20"/>
      <c r="H2368" s="5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4"/>
      <c r="T2368" s="4"/>
      <c r="U2368" s="4"/>
      <c r="V2368" s="4"/>
      <c r="W2368" s="4"/>
      <c r="X2368" s="4"/>
      <c r="Y2368" s="4"/>
      <c r="Z2368" s="4"/>
      <c r="AA2368" s="4"/>
      <c r="AB2368" s="4"/>
      <c r="AC2368" s="4"/>
      <c r="AD2368" s="4"/>
      <c r="AE2368" s="4"/>
      <c r="AF2368" s="4"/>
      <c r="AG2368" s="4"/>
      <c r="AH2368" s="4"/>
      <c r="AI2368" s="4"/>
      <c r="AJ2368" s="4"/>
      <c r="AK2368" s="4"/>
      <c r="AL2368" s="4"/>
      <c r="AM2368" s="4"/>
      <c r="AN2368" s="4"/>
      <c r="AO2368" s="4"/>
      <c r="AP2368" s="4"/>
      <c r="AQ2368" s="4"/>
      <c r="AR2368" s="4"/>
      <c r="AS2368" s="4"/>
      <c r="AT2368" s="4"/>
      <c r="AU2368" s="4"/>
      <c r="AV2368" s="4"/>
    </row>
    <row r="2369" spans="4:48" x14ac:dyDescent="0.3">
      <c r="D2369" s="5"/>
      <c r="E2369" s="5"/>
      <c r="F2369" s="20"/>
      <c r="G2369" s="20"/>
      <c r="H2369" s="5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4"/>
      <c r="T2369" s="4"/>
      <c r="U2369" s="4"/>
      <c r="V2369" s="4"/>
      <c r="W2369" s="4"/>
      <c r="X2369" s="4"/>
      <c r="Y2369" s="4"/>
      <c r="Z2369" s="4"/>
      <c r="AA2369" s="4"/>
      <c r="AB2369" s="4"/>
      <c r="AC2369" s="4"/>
      <c r="AD2369" s="4"/>
      <c r="AE2369" s="4"/>
      <c r="AF2369" s="4"/>
      <c r="AG2369" s="4"/>
      <c r="AH2369" s="4"/>
      <c r="AI2369" s="4"/>
      <c r="AJ2369" s="4"/>
      <c r="AK2369" s="4"/>
      <c r="AL2369" s="4"/>
      <c r="AM2369" s="4"/>
      <c r="AN2369" s="4"/>
      <c r="AO2369" s="4"/>
      <c r="AP2369" s="4"/>
      <c r="AQ2369" s="4"/>
      <c r="AR2369" s="4"/>
      <c r="AS2369" s="4"/>
      <c r="AT2369" s="4"/>
      <c r="AU2369" s="4"/>
      <c r="AV2369" s="4"/>
    </row>
    <row r="2370" spans="4:48" x14ac:dyDescent="0.3">
      <c r="D2370" s="5"/>
      <c r="E2370" s="5"/>
      <c r="F2370" s="20"/>
      <c r="G2370" s="20"/>
      <c r="H2370" s="5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4"/>
      <c r="T2370" s="4"/>
      <c r="U2370" s="4"/>
      <c r="V2370" s="4"/>
      <c r="W2370" s="4"/>
      <c r="X2370" s="4"/>
      <c r="Y2370" s="4"/>
      <c r="Z2370" s="4"/>
      <c r="AA2370" s="4"/>
      <c r="AB2370" s="4"/>
      <c r="AC2370" s="4"/>
      <c r="AD2370" s="4"/>
      <c r="AE2370" s="4"/>
      <c r="AF2370" s="4"/>
      <c r="AG2370" s="4"/>
      <c r="AH2370" s="4"/>
      <c r="AI2370" s="4"/>
      <c r="AJ2370" s="4"/>
      <c r="AK2370" s="4"/>
      <c r="AL2370" s="4"/>
      <c r="AM2370" s="4"/>
      <c r="AN2370" s="4"/>
      <c r="AO2370" s="4"/>
      <c r="AP2370" s="4"/>
      <c r="AQ2370" s="4"/>
      <c r="AR2370" s="4"/>
      <c r="AS2370" s="4"/>
      <c r="AT2370" s="4"/>
      <c r="AU2370" s="4"/>
      <c r="AV2370" s="4"/>
    </row>
    <row r="2371" spans="4:48" x14ac:dyDescent="0.3">
      <c r="D2371" s="5"/>
      <c r="E2371" s="5"/>
      <c r="F2371" s="20"/>
      <c r="G2371" s="20"/>
      <c r="H2371" s="5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4"/>
      <c r="T2371" s="4"/>
      <c r="U2371" s="4"/>
      <c r="V2371" s="4"/>
      <c r="W2371" s="4"/>
      <c r="X2371" s="4"/>
      <c r="Y2371" s="4"/>
      <c r="Z2371" s="4"/>
      <c r="AA2371" s="4"/>
      <c r="AB2371" s="4"/>
      <c r="AC2371" s="4"/>
      <c r="AD2371" s="4"/>
      <c r="AE2371" s="4"/>
      <c r="AF2371" s="4"/>
      <c r="AG2371" s="4"/>
      <c r="AH2371" s="4"/>
      <c r="AI2371" s="4"/>
      <c r="AJ2371" s="4"/>
      <c r="AK2371" s="4"/>
      <c r="AL2371" s="4"/>
      <c r="AM2371" s="4"/>
      <c r="AN2371" s="4"/>
      <c r="AO2371" s="4"/>
      <c r="AP2371" s="4"/>
      <c r="AQ2371" s="4"/>
      <c r="AR2371" s="4"/>
      <c r="AS2371" s="4"/>
      <c r="AT2371" s="4"/>
      <c r="AU2371" s="4"/>
      <c r="AV2371" s="4"/>
    </row>
    <row r="2372" spans="4:48" x14ac:dyDescent="0.3">
      <c r="D2372" s="5"/>
      <c r="E2372" s="5"/>
      <c r="F2372" s="20"/>
      <c r="G2372" s="20"/>
      <c r="H2372" s="5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4"/>
      <c r="T2372" s="4"/>
      <c r="U2372" s="4"/>
      <c r="V2372" s="4"/>
      <c r="W2372" s="4"/>
      <c r="X2372" s="4"/>
      <c r="Y2372" s="4"/>
      <c r="Z2372" s="4"/>
      <c r="AA2372" s="4"/>
      <c r="AB2372" s="4"/>
      <c r="AC2372" s="4"/>
      <c r="AD2372" s="4"/>
      <c r="AE2372" s="4"/>
      <c r="AF2372" s="4"/>
      <c r="AG2372" s="4"/>
      <c r="AH2372" s="4"/>
      <c r="AI2372" s="4"/>
      <c r="AJ2372" s="4"/>
      <c r="AK2372" s="4"/>
      <c r="AL2372" s="4"/>
      <c r="AM2372" s="4"/>
      <c r="AN2372" s="4"/>
      <c r="AO2372" s="4"/>
      <c r="AP2372" s="4"/>
      <c r="AQ2372" s="4"/>
      <c r="AR2372" s="4"/>
      <c r="AS2372" s="4"/>
      <c r="AT2372" s="4"/>
      <c r="AU2372" s="4"/>
      <c r="AV2372" s="4"/>
    </row>
    <row r="2373" spans="4:48" x14ac:dyDescent="0.3">
      <c r="D2373" s="5"/>
      <c r="E2373" s="5"/>
      <c r="F2373" s="20"/>
      <c r="G2373" s="20"/>
      <c r="H2373" s="5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4"/>
      <c r="T2373" s="4"/>
      <c r="U2373" s="4"/>
      <c r="V2373" s="4"/>
      <c r="W2373" s="4"/>
      <c r="X2373" s="4"/>
      <c r="Y2373" s="4"/>
      <c r="Z2373" s="4"/>
      <c r="AA2373" s="4"/>
      <c r="AB2373" s="4"/>
      <c r="AC2373" s="4"/>
      <c r="AD2373" s="4"/>
      <c r="AE2373" s="4"/>
      <c r="AF2373" s="4"/>
      <c r="AG2373" s="4"/>
      <c r="AH2373" s="4"/>
      <c r="AI2373" s="4"/>
      <c r="AJ2373" s="4"/>
      <c r="AK2373" s="4"/>
      <c r="AL2373" s="4"/>
      <c r="AM2373" s="4"/>
      <c r="AN2373" s="4"/>
      <c r="AO2373" s="4"/>
      <c r="AP2373" s="4"/>
      <c r="AQ2373" s="4"/>
      <c r="AR2373" s="4"/>
      <c r="AS2373" s="4"/>
      <c r="AT2373" s="4"/>
      <c r="AU2373" s="4"/>
      <c r="AV2373" s="4"/>
    </row>
    <row r="2374" spans="4:48" x14ac:dyDescent="0.3">
      <c r="D2374" s="5"/>
      <c r="E2374" s="5"/>
      <c r="F2374" s="20"/>
      <c r="G2374" s="20"/>
      <c r="H2374" s="5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4"/>
      <c r="T2374" s="4"/>
      <c r="U2374" s="4"/>
      <c r="V2374" s="4"/>
      <c r="W2374" s="4"/>
      <c r="X2374" s="4"/>
      <c r="Y2374" s="4"/>
      <c r="Z2374" s="4"/>
      <c r="AA2374" s="4"/>
      <c r="AB2374" s="4"/>
      <c r="AC2374" s="4"/>
      <c r="AD2374" s="4"/>
      <c r="AE2374" s="4"/>
      <c r="AF2374" s="4"/>
      <c r="AG2374" s="4"/>
      <c r="AH2374" s="4"/>
      <c r="AI2374" s="4"/>
      <c r="AJ2374" s="4"/>
      <c r="AK2374" s="4"/>
      <c r="AL2374" s="4"/>
      <c r="AM2374" s="4"/>
      <c r="AN2374" s="4"/>
      <c r="AO2374" s="4"/>
      <c r="AP2374" s="4"/>
      <c r="AQ2374" s="4"/>
      <c r="AR2374" s="4"/>
      <c r="AS2374" s="4"/>
      <c r="AT2374" s="4"/>
      <c r="AU2374" s="4"/>
      <c r="AV2374" s="4"/>
    </row>
    <row r="2375" spans="4:48" x14ac:dyDescent="0.3">
      <c r="D2375" s="5"/>
      <c r="E2375" s="5"/>
      <c r="F2375" s="20"/>
      <c r="G2375" s="20"/>
      <c r="H2375" s="5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4"/>
      <c r="T2375" s="4"/>
      <c r="U2375" s="4"/>
      <c r="V2375" s="4"/>
      <c r="W2375" s="4"/>
      <c r="X2375" s="4"/>
      <c r="Y2375" s="4"/>
      <c r="Z2375" s="4"/>
      <c r="AA2375" s="4"/>
      <c r="AB2375" s="4"/>
      <c r="AC2375" s="4"/>
      <c r="AD2375" s="4"/>
      <c r="AE2375" s="4"/>
      <c r="AF2375" s="4"/>
      <c r="AG2375" s="4"/>
      <c r="AH2375" s="4"/>
      <c r="AI2375" s="4"/>
      <c r="AJ2375" s="4"/>
      <c r="AK2375" s="4"/>
      <c r="AL2375" s="4"/>
      <c r="AM2375" s="4"/>
      <c r="AN2375" s="4"/>
      <c r="AO2375" s="4"/>
      <c r="AP2375" s="4"/>
      <c r="AQ2375" s="4"/>
      <c r="AR2375" s="4"/>
      <c r="AS2375" s="4"/>
      <c r="AT2375" s="4"/>
      <c r="AU2375" s="4"/>
      <c r="AV2375" s="4"/>
    </row>
    <row r="2376" spans="4:48" x14ac:dyDescent="0.3">
      <c r="D2376" s="5"/>
      <c r="E2376" s="5"/>
      <c r="F2376" s="20"/>
      <c r="G2376" s="20"/>
      <c r="H2376" s="5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4"/>
      <c r="T2376" s="4"/>
      <c r="U2376" s="4"/>
      <c r="V2376" s="4"/>
      <c r="W2376" s="4"/>
      <c r="X2376" s="4"/>
      <c r="Y2376" s="4"/>
      <c r="Z2376" s="4"/>
      <c r="AA2376" s="4"/>
      <c r="AB2376" s="4"/>
      <c r="AC2376" s="4"/>
      <c r="AD2376" s="4"/>
      <c r="AE2376" s="4"/>
      <c r="AF2376" s="4"/>
      <c r="AG2376" s="4"/>
      <c r="AH2376" s="4"/>
      <c r="AI2376" s="4"/>
      <c r="AJ2376" s="4"/>
      <c r="AK2376" s="4"/>
      <c r="AL2376" s="4"/>
      <c r="AM2376" s="4"/>
      <c r="AN2376" s="4"/>
      <c r="AO2376" s="4"/>
      <c r="AP2376" s="4"/>
      <c r="AQ2376" s="4"/>
      <c r="AR2376" s="4"/>
      <c r="AS2376" s="4"/>
      <c r="AT2376" s="4"/>
      <c r="AU2376" s="4"/>
      <c r="AV2376" s="4"/>
    </row>
    <row r="2377" spans="4:48" x14ac:dyDescent="0.3">
      <c r="D2377" s="5"/>
      <c r="E2377" s="5"/>
      <c r="F2377" s="20"/>
      <c r="G2377" s="20"/>
      <c r="H2377" s="5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4"/>
      <c r="T2377" s="4"/>
      <c r="U2377" s="4"/>
      <c r="V2377" s="4"/>
      <c r="W2377" s="4"/>
      <c r="X2377" s="4"/>
      <c r="Y2377" s="4"/>
      <c r="Z2377" s="4"/>
      <c r="AA2377" s="4"/>
      <c r="AB2377" s="4"/>
      <c r="AC2377" s="4"/>
      <c r="AD2377" s="4"/>
      <c r="AE2377" s="4"/>
      <c r="AF2377" s="4"/>
      <c r="AG2377" s="4"/>
      <c r="AH2377" s="4"/>
      <c r="AI2377" s="4"/>
      <c r="AJ2377" s="4"/>
      <c r="AK2377" s="4"/>
      <c r="AL2377" s="4"/>
      <c r="AM2377" s="4"/>
      <c r="AN2377" s="4"/>
      <c r="AO2377" s="4"/>
      <c r="AP2377" s="4"/>
      <c r="AQ2377" s="4"/>
      <c r="AR2377" s="4"/>
      <c r="AS2377" s="4"/>
      <c r="AT2377" s="4"/>
      <c r="AU2377" s="4"/>
      <c r="AV2377" s="4"/>
    </row>
    <row r="2378" spans="4:48" x14ac:dyDescent="0.3">
      <c r="D2378" s="5"/>
      <c r="E2378" s="5"/>
      <c r="F2378" s="20"/>
      <c r="G2378" s="20"/>
      <c r="H2378" s="5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4"/>
      <c r="T2378" s="4"/>
      <c r="U2378" s="4"/>
      <c r="V2378" s="4"/>
      <c r="W2378" s="4"/>
      <c r="X2378" s="4"/>
      <c r="Y2378" s="4"/>
      <c r="Z2378" s="4"/>
      <c r="AA2378" s="4"/>
      <c r="AB2378" s="4"/>
      <c r="AC2378" s="4"/>
      <c r="AD2378" s="4"/>
      <c r="AE2378" s="4"/>
      <c r="AF2378" s="4"/>
      <c r="AG2378" s="4"/>
      <c r="AH2378" s="4"/>
      <c r="AI2378" s="4"/>
      <c r="AJ2378" s="4"/>
      <c r="AK2378" s="4"/>
      <c r="AL2378" s="4"/>
      <c r="AM2378" s="4"/>
      <c r="AN2378" s="4"/>
      <c r="AO2378" s="4"/>
      <c r="AP2378" s="4"/>
      <c r="AQ2378" s="4"/>
      <c r="AR2378" s="4"/>
      <c r="AS2378" s="4"/>
      <c r="AT2378" s="4"/>
      <c r="AU2378" s="4"/>
      <c r="AV2378" s="4"/>
    </row>
    <row r="2379" spans="4:48" x14ac:dyDescent="0.3">
      <c r="D2379" s="5"/>
      <c r="E2379" s="5"/>
      <c r="F2379" s="20"/>
      <c r="G2379" s="20"/>
      <c r="H2379" s="5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4"/>
      <c r="T2379" s="4"/>
      <c r="U2379" s="4"/>
      <c r="V2379" s="4"/>
      <c r="W2379" s="4"/>
      <c r="X2379" s="4"/>
      <c r="Y2379" s="4"/>
      <c r="Z2379" s="4"/>
      <c r="AA2379" s="4"/>
      <c r="AB2379" s="4"/>
      <c r="AC2379" s="4"/>
      <c r="AD2379" s="4"/>
      <c r="AE2379" s="4"/>
      <c r="AF2379" s="4"/>
      <c r="AG2379" s="4"/>
      <c r="AH2379" s="4"/>
      <c r="AI2379" s="4"/>
      <c r="AJ2379" s="4"/>
      <c r="AK2379" s="4"/>
      <c r="AL2379" s="4"/>
      <c r="AM2379" s="4"/>
      <c r="AN2379" s="4"/>
      <c r="AO2379" s="4"/>
      <c r="AP2379" s="4"/>
      <c r="AQ2379" s="4"/>
      <c r="AR2379" s="4"/>
      <c r="AS2379" s="4"/>
      <c r="AT2379" s="4"/>
      <c r="AU2379" s="4"/>
      <c r="AV2379" s="4"/>
    </row>
    <row r="2380" spans="4:48" x14ac:dyDescent="0.3">
      <c r="D2380" s="5"/>
      <c r="E2380" s="5"/>
      <c r="F2380" s="20"/>
      <c r="G2380" s="20"/>
      <c r="H2380" s="5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4"/>
      <c r="T2380" s="4"/>
      <c r="U2380" s="4"/>
      <c r="V2380" s="4"/>
      <c r="W2380" s="4"/>
      <c r="X2380" s="4"/>
      <c r="Y2380" s="4"/>
      <c r="Z2380" s="4"/>
      <c r="AA2380" s="4"/>
      <c r="AB2380" s="4"/>
      <c r="AC2380" s="4"/>
      <c r="AD2380" s="4"/>
      <c r="AE2380" s="4"/>
      <c r="AF2380" s="4"/>
      <c r="AG2380" s="4"/>
      <c r="AH2380" s="4"/>
      <c r="AI2380" s="4"/>
      <c r="AJ2380" s="4"/>
      <c r="AK2380" s="4"/>
      <c r="AL2380" s="4"/>
      <c r="AM2380" s="4"/>
      <c r="AN2380" s="4"/>
      <c r="AO2380" s="4"/>
      <c r="AP2380" s="4"/>
      <c r="AQ2380" s="4"/>
      <c r="AR2380" s="4"/>
      <c r="AS2380" s="4"/>
      <c r="AT2380" s="4"/>
      <c r="AU2380" s="4"/>
      <c r="AV2380" s="4"/>
    </row>
    <row r="2381" spans="4:48" x14ac:dyDescent="0.3">
      <c r="D2381" s="5"/>
      <c r="E2381" s="5"/>
      <c r="F2381" s="20"/>
      <c r="G2381" s="20"/>
      <c r="H2381" s="5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4"/>
      <c r="T2381" s="4"/>
      <c r="U2381" s="4"/>
      <c r="V2381" s="4"/>
      <c r="W2381" s="4"/>
      <c r="X2381" s="4"/>
      <c r="Y2381" s="4"/>
      <c r="Z2381" s="4"/>
      <c r="AA2381" s="4"/>
      <c r="AB2381" s="4"/>
      <c r="AC2381" s="4"/>
      <c r="AD2381" s="4"/>
      <c r="AE2381" s="4"/>
      <c r="AF2381" s="4"/>
      <c r="AG2381" s="4"/>
      <c r="AH2381" s="4"/>
      <c r="AI2381" s="4"/>
      <c r="AJ2381" s="4"/>
      <c r="AK2381" s="4"/>
      <c r="AL2381" s="4"/>
      <c r="AM2381" s="4"/>
      <c r="AN2381" s="4"/>
      <c r="AO2381" s="4"/>
      <c r="AP2381" s="4"/>
      <c r="AQ2381" s="4"/>
      <c r="AR2381" s="4"/>
      <c r="AS2381" s="4"/>
      <c r="AT2381" s="4"/>
      <c r="AU2381" s="4"/>
      <c r="AV2381" s="4"/>
    </row>
    <row r="2382" spans="4:48" x14ac:dyDescent="0.3">
      <c r="D2382" s="5"/>
      <c r="E2382" s="5"/>
      <c r="F2382" s="20"/>
      <c r="G2382" s="20"/>
      <c r="H2382" s="5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4"/>
      <c r="T2382" s="4"/>
      <c r="U2382" s="4"/>
      <c r="V2382" s="4"/>
      <c r="W2382" s="4"/>
      <c r="X2382" s="4"/>
      <c r="Y2382" s="4"/>
      <c r="Z2382" s="4"/>
      <c r="AA2382" s="4"/>
      <c r="AB2382" s="4"/>
      <c r="AC2382" s="4"/>
      <c r="AD2382" s="4"/>
      <c r="AE2382" s="4"/>
      <c r="AF2382" s="4"/>
      <c r="AG2382" s="4"/>
      <c r="AH2382" s="4"/>
      <c r="AI2382" s="4"/>
      <c r="AJ2382" s="4"/>
      <c r="AK2382" s="4"/>
      <c r="AL2382" s="4"/>
      <c r="AM2382" s="4"/>
      <c r="AN2382" s="4"/>
      <c r="AO2382" s="4"/>
      <c r="AP2382" s="4"/>
      <c r="AQ2382" s="4"/>
      <c r="AR2382" s="4"/>
      <c r="AS2382" s="4"/>
      <c r="AT2382" s="4"/>
      <c r="AU2382" s="4"/>
      <c r="AV2382" s="4"/>
    </row>
    <row r="2383" spans="4:48" x14ac:dyDescent="0.3">
      <c r="D2383" s="5"/>
      <c r="E2383" s="5"/>
      <c r="F2383" s="20"/>
      <c r="G2383" s="20"/>
      <c r="H2383" s="5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4"/>
      <c r="T2383" s="4"/>
      <c r="U2383" s="4"/>
      <c r="V2383" s="4"/>
      <c r="W2383" s="4"/>
      <c r="X2383" s="4"/>
      <c r="Y2383" s="4"/>
      <c r="Z2383" s="4"/>
      <c r="AA2383" s="4"/>
      <c r="AB2383" s="4"/>
      <c r="AC2383" s="4"/>
      <c r="AD2383" s="4"/>
      <c r="AE2383" s="4"/>
      <c r="AF2383" s="4"/>
      <c r="AG2383" s="4"/>
      <c r="AH2383" s="4"/>
      <c r="AI2383" s="4"/>
      <c r="AJ2383" s="4"/>
      <c r="AK2383" s="4"/>
      <c r="AL2383" s="4"/>
      <c r="AM2383" s="4"/>
      <c r="AN2383" s="4"/>
      <c r="AO2383" s="4"/>
      <c r="AP2383" s="4"/>
      <c r="AQ2383" s="4"/>
      <c r="AR2383" s="4"/>
      <c r="AS2383" s="4"/>
      <c r="AT2383" s="4"/>
      <c r="AU2383" s="4"/>
      <c r="AV2383" s="4"/>
    </row>
    <row r="2384" spans="4:48" x14ac:dyDescent="0.3">
      <c r="D2384" s="5"/>
      <c r="E2384" s="5"/>
      <c r="F2384" s="20"/>
      <c r="G2384" s="20"/>
      <c r="H2384" s="5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4"/>
      <c r="T2384" s="4"/>
      <c r="U2384" s="4"/>
      <c r="V2384" s="4"/>
      <c r="W2384" s="4"/>
      <c r="X2384" s="4"/>
      <c r="Y2384" s="4"/>
      <c r="Z2384" s="4"/>
      <c r="AA2384" s="4"/>
      <c r="AB2384" s="4"/>
      <c r="AC2384" s="4"/>
      <c r="AD2384" s="4"/>
      <c r="AE2384" s="4"/>
      <c r="AF2384" s="4"/>
      <c r="AG2384" s="4"/>
      <c r="AH2384" s="4"/>
      <c r="AI2384" s="4"/>
      <c r="AJ2384" s="4"/>
      <c r="AK2384" s="4"/>
      <c r="AL2384" s="4"/>
      <c r="AM2384" s="4"/>
      <c r="AN2384" s="4"/>
      <c r="AO2384" s="4"/>
      <c r="AP2384" s="4"/>
      <c r="AQ2384" s="4"/>
      <c r="AR2384" s="4"/>
      <c r="AS2384" s="4"/>
      <c r="AT2384" s="4"/>
      <c r="AU2384" s="4"/>
      <c r="AV2384" s="4"/>
    </row>
    <row r="2385" spans="4:48" x14ac:dyDescent="0.3">
      <c r="D2385" s="5"/>
      <c r="E2385" s="5"/>
      <c r="F2385" s="20"/>
      <c r="G2385" s="20"/>
      <c r="H2385" s="5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4"/>
      <c r="T2385" s="4"/>
      <c r="U2385" s="4"/>
      <c r="V2385" s="4"/>
      <c r="W2385" s="4"/>
      <c r="X2385" s="4"/>
      <c r="Y2385" s="4"/>
      <c r="Z2385" s="4"/>
      <c r="AA2385" s="4"/>
      <c r="AB2385" s="4"/>
      <c r="AC2385" s="4"/>
      <c r="AD2385" s="4"/>
      <c r="AE2385" s="4"/>
      <c r="AF2385" s="4"/>
      <c r="AG2385" s="4"/>
      <c r="AH2385" s="4"/>
      <c r="AI2385" s="4"/>
      <c r="AJ2385" s="4"/>
      <c r="AK2385" s="4"/>
      <c r="AL2385" s="4"/>
      <c r="AM2385" s="4"/>
      <c r="AN2385" s="4"/>
      <c r="AO2385" s="4"/>
      <c r="AP2385" s="4"/>
      <c r="AQ2385" s="4"/>
      <c r="AR2385" s="4"/>
      <c r="AS2385" s="4"/>
      <c r="AT2385" s="4"/>
      <c r="AU2385" s="4"/>
      <c r="AV2385" s="4"/>
    </row>
    <row r="2386" spans="4:48" x14ac:dyDescent="0.3">
      <c r="D2386" s="5"/>
      <c r="E2386" s="5"/>
      <c r="F2386" s="20"/>
      <c r="G2386" s="20"/>
      <c r="H2386" s="5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4"/>
      <c r="T2386" s="4"/>
      <c r="U2386" s="4"/>
      <c r="V2386" s="4"/>
      <c r="W2386" s="4"/>
      <c r="X2386" s="4"/>
      <c r="Y2386" s="4"/>
      <c r="Z2386" s="4"/>
      <c r="AA2386" s="4"/>
      <c r="AB2386" s="4"/>
      <c r="AC2386" s="4"/>
      <c r="AD2386" s="4"/>
      <c r="AE2386" s="4"/>
      <c r="AF2386" s="4"/>
      <c r="AG2386" s="4"/>
      <c r="AH2386" s="4"/>
      <c r="AI2386" s="4"/>
      <c r="AJ2386" s="4"/>
      <c r="AK2386" s="4"/>
      <c r="AL2386" s="4"/>
      <c r="AM2386" s="4"/>
      <c r="AN2386" s="4"/>
      <c r="AO2386" s="4"/>
      <c r="AP2386" s="4"/>
      <c r="AQ2386" s="4"/>
      <c r="AR2386" s="4"/>
      <c r="AS2386" s="4"/>
      <c r="AT2386" s="4"/>
      <c r="AU2386" s="4"/>
      <c r="AV2386" s="4"/>
    </row>
    <row r="2387" spans="4:48" x14ac:dyDescent="0.3">
      <c r="D2387" s="5"/>
      <c r="E2387" s="5"/>
      <c r="F2387" s="20"/>
      <c r="G2387" s="20"/>
      <c r="H2387" s="5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4"/>
      <c r="T2387" s="4"/>
      <c r="U2387" s="4"/>
      <c r="V2387" s="4"/>
      <c r="W2387" s="4"/>
      <c r="X2387" s="4"/>
      <c r="Y2387" s="4"/>
      <c r="Z2387" s="4"/>
      <c r="AA2387" s="4"/>
      <c r="AB2387" s="4"/>
      <c r="AC2387" s="4"/>
      <c r="AD2387" s="4"/>
      <c r="AE2387" s="4"/>
      <c r="AF2387" s="4"/>
      <c r="AG2387" s="4"/>
      <c r="AH2387" s="4"/>
      <c r="AI2387" s="4"/>
      <c r="AJ2387" s="4"/>
      <c r="AK2387" s="4"/>
      <c r="AL2387" s="4"/>
      <c r="AM2387" s="4"/>
      <c r="AN2387" s="4"/>
      <c r="AO2387" s="4"/>
      <c r="AP2387" s="4"/>
      <c r="AQ2387" s="4"/>
      <c r="AR2387" s="4"/>
      <c r="AS2387" s="4"/>
      <c r="AT2387" s="4"/>
      <c r="AU2387" s="4"/>
      <c r="AV2387" s="4"/>
    </row>
    <row r="2388" spans="4:48" x14ac:dyDescent="0.3">
      <c r="D2388" s="5"/>
      <c r="E2388" s="5"/>
      <c r="F2388" s="20"/>
      <c r="G2388" s="20"/>
      <c r="H2388" s="5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4"/>
      <c r="T2388" s="4"/>
      <c r="U2388" s="4"/>
      <c r="V2388" s="4"/>
      <c r="W2388" s="4"/>
      <c r="X2388" s="4"/>
      <c r="Y2388" s="4"/>
      <c r="Z2388" s="4"/>
      <c r="AA2388" s="4"/>
      <c r="AB2388" s="4"/>
      <c r="AC2388" s="4"/>
      <c r="AD2388" s="4"/>
      <c r="AE2388" s="4"/>
      <c r="AF2388" s="4"/>
      <c r="AG2388" s="4"/>
      <c r="AH2388" s="4"/>
      <c r="AI2388" s="4"/>
      <c r="AJ2388" s="4"/>
      <c r="AK2388" s="4"/>
      <c r="AL2388" s="4"/>
      <c r="AM2388" s="4"/>
      <c r="AN2388" s="4"/>
      <c r="AO2388" s="4"/>
      <c r="AP2388" s="4"/>
      <c r="AQ2388" s="4"/>
      <c r="AR2388" s="4"/>
      <c r="AS2388" s="4"/>
      <c r="AT2388" s="4"/>
      <c r="AU2388" s="4"/>
      <c r="AV2388" s="4"/>
    </row>
    <row r="2389" spans="4:48" x14ac:dyDescent="0.3">
      <c r="D2389" s="5"/>
      <c r="E2389" s="5"/>
      <c r="F2389" s="20"/>
      <c r="G2389" s="20"/>
      <c r="H2389" s="5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4"/>
      <c r="T2389" s="4"/>
      <c r="U2389" s="4"/>
      <c r="V2389" s="4"/>
      <c r="W2389" s="4"/>
      <c r="X2389" s="4"/>
      <c r="Y2389" s="4"/>
      <c r="Z2389" s="4"/>
      <c r="AA2389" s="4"/>
      <c r="AB2389" s="4"/>
      <c r="AC2389" s="4"/>
      <c r="AD2389" s="4"/>
      <c r="AE2389" s="4"/>
      <c r="AF2389" s="4"/>
      <c r="AG2389" s="4"/>
      <c r="AH2389" s="4"/>
      <c r="AI2389" s="4"/>
      <c r="AJ2389" s="4"/>
      <c r="AK2389" s="4"/>
      <c r="AL2389" s="4"/>
      <c r="AM2389" s="4"/>
      <c r="AN2389" s="4"/>
      <c r="AO2389" s="4"/>
      <c r="AP2389" s="4"/>
      <c r="AQ2389" s="4"/>
      <c r="AR2389" s="4"/>
      <c r="AS2389" s="4"/>
      <c r="AT2389" s="4"/>
      <c r="AU2389" s="4"/>
      <c r="AV2389" s="4"/>
    </row>
    <row r="2390" spans="4:48" x14ac:dyDescent="0.3">
      <c r="D2390" s="5"/>
      <c r="E2390" s="5"/>
      <c r="F2390" s="20"/>
      <c r="G2390" s="20"/>
      <c r="H2390" s="5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4"/>
      <c r="T2390" s="4"/>
      <c r="U2390" s="4"/>
      <c r="V2390" s="4"/>
      <c r="W2390" s="4"/>
      <c r="X2390" s="4"/>
      <c r="Y2390" s="4"/>
      <c r="Z2390" s="4"/>
      <c r="AA2390" s="4"/>
      <c r="AB2390" s="4"/>
      <c r="AC2390" s="4"/>
      <c r="AD2390" s="4"/>
      <c r="AE2390" s="4"/>
      <c r="AF2390" s="4"/>
      <c r="AG2390" s="4"/>
      <c r="AH2390" s="4"/>
      <c r="AI2390" s="4"/>
      <c r="AJ2390" s="4"/>
      <c r="AK2390" s="4"/>
      <c r="AL2390" s="4"/>
      <c r="AM2390" s="4"/>
      <c r="AN2390" s="4"/>
      <c r="AO2390" s="4"/>
      <c r="AP2390" s="4"/>
      <c r="AQ2390" s="4"/>
      <c r="AR2390" s="4"/>
      <c r="AS2390" s="4"/>
      <c r="AT2390" s="4"/>
      <c r="AU2390" s="4"/>
      <c r="AV2390" s="4"/>
    </row>
    <row r="2391" spans="4:48" x14ac:dyDescent="0.3">
      <c r="D2391" s="5"/>
      <c r="E2391" s="5"/>
      <c r="F2391" s="20"/>
      <c r="G2391" s="20"/>
      <c r="H2391" s="5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4"/>
      <c r="T2391" s="4"/>
      <c r="U2391" s="4"/>
      <c r="V2391" s="4"/>
      <c r="W2391" s="4"/>
      <c r="X2391" s="4"/>
      <c r="Y2391" s="4"/>
      <c r="Z2391" s="4"/>
      <c r="AA2391" s="4"/>
      <c r="AB2391" s="4"/>
      <c r="AC2391" s="4"/>
      <c r="AD2391" s="4"/>
      <c r="AE2391" s="4"/>
      <c r="AF2391" s="4"/>
      <c r="AG2391" s="4"/>
      <c r="AH2391" s="4"/>
      <c r="AI2391" s="4"/>
      <c r="AJ2391" s="4"/>
      <c r="AK2391" s="4"/>
      <c r="AL2391" s="4"/>
      <c r="AM2391" s="4"/>
      <c r="AN2391" s="4"/>
      <c r="AO2391" s="4"/>
      <c r="AP2391" s="4"/>
      <c r="AQ2391" s="4"/>
      <c r="AR2391" s="4"/>
      <c r="AS2391" s="4"/>
      <c r="AT2391" s="4"/>
      <c r="AU2391" s="4"/>
      <c r="AV2391" s="4"/>
    </row>
    <row r="2392" spans="4:48" x14ac:dyDescent="0.3">
      <c r="D2392" s="5"/>
      <c r="E2392" s="5"/>
      <c r="F2392" s="20"/>
      <c r="G2392" s="20"/>
      <c r="H2392" s="5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4"/>
      <c r="T2392" s="4"/>
      <c r="U2392" s="4"/>
      <c r="V2392" s="4"/>
      <c r="W2392" s="4"/>
      <c r="X2392" s="4"/>
      <c r="Y2392" s="4"/>
      <c r="Z2392" s="4"/>
      <c r="AA2392" s="4"/>
      <c r="AB2392" s="4"/>
      <c r="AC2392" s="4"/>
      <c r="AD2392" s="4"/>
      <c r="AE2392" s="4"/>
      <c r="AF2392" s="4"/>
      <c r="AG2392" s="4"/>
      <c r="AH2392" s="4"/>
      <c r="AI2392" s="4"/>
      <c r="AJ2392" s="4"/>
      <c r="AK2392" s="4"/>
      <c r="AL2392" s="4"/>
      <c r="AM2392" s="4"/>
      <c r="AN2392" s="4"/>
      <c r="AO2392" s="4"/>
      <c r="AP2392" s="4"/>
      <c r="AQ2392" s="4"/>
      <c r="AR2392" s="4"/>
      <c r="AS2392" s="4"/>
      <c r="AT2392" s="4"/>
      <c r="AU2392" s="4"/>
      <c r="AV2392" s="4"/>
    </row>
    <row r="2393" spans="4:48" x14ac:dyDescent="0.3">
      <c r="D2393" s="5"/>
      <c r="E2393" s="5"/>
      <c r="F2393" s="20"/>
      <c r="G2393" s="20"/>
      <c r="H2393" s="5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4"/>
      <c r="T2393" s="4"/>
      <c r="U2393" s="4"/>
      <c r="V2393" s="4"/>
      <c r="W2393" s="4"/>
      <c r="X2393" s="4"/>
      <c r="Y2393" s="4"/>
      <c r="Z2393" s="4"/>
      <c r="AA2393" s="4"/>
      <c r="AB2393" s="4"/>
      <c r="AC2393" s="4"/>
      <c r="AD2393" s="4"/>
      <c r="AE2393" s="4"/>
      <c r="AF2393" s="4"/>
      <c r="AG2393" s="4"/>
      <c r="AH2393" s="4"/>
      <c r="AI2393" s="4"/>
      <c r="AJ2393" s="4"/>
      <c r="AK2393" s="4"/>
      <c r="AL2393" s="4"/>
      <c r="AM2393" s="4"/>
      <c r="AN2393" s="4"/>
      <c r="AO2393" s="4"/>
      <c r="AP2393" s="4"/>
      <c r="AQ2393" s="4"/>
      <c r="AR2393" s="4"/>
      <c r="AS2393" s="4"/>
      <c r="AT2393" s="4"/>
      <c r="AU2393" s="4"/>
      <c r="AV2393" s="4"/>
    </row>
    <row r="2394" spans="4:48" x14ac:dyDescent="0.3">
      <c r="D2394" s="5"/>
      <c r="E2394" s="5"/>
      <c r="F2394" s="20"/>
      <c r="G2394" s="20"/>
      <c r="H2394" s="5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4"/>
      <c r="T2394" s="4"/>
      <c r="U2394" s="4"/>
      <c r="V2394" s="4"/>
      <c r="W2394" s="4"/>
      <c r="X2394" s="4"/>
      <c r="Y2394" s="4"/>
      <c r="Z2394" s="4"/>
      <c r="AA2394" s="4"/>
      <c r="AB2394" s="4"/>
      <c r="AC2394" s="4"/>
      <c r="AD2394" s="4"/>
      <c r="AE2394" s="4"/>
      <c r="AF2394" s="4"/>
      <c r="AG2394" s="4"/>
      <c r="AH2394" s="4"/>
      <c r="AI2394" s="4"/>
      <c r="AJ2394" s="4"/>
      <c r="AK2394" s="4"/>
      <c r="AL2394" s="4"/>
      <c r="AM2394" s="4"/>
      <c r="AN2394" s="4"/>
      <c r="AO2394" s="4"/>
      <c r="AP2394" s="4"/>
      <c r="AQ2394" s="4"/>
      <c r="AR2394" s="4"/>
      <c r="AS2394" s="4"/>
      <c r="AT2394" s="4"/>
      <c r="AU2394" s="4"/>
      <c r="AV2394" s="4"/>
    </row>
    <row r="2395" spans="4:48" x14ac:dyDescent="0.3">
      <c r="D2395" s="5"/>
      <c r="E2395" s="5"/>
      <c r="F2395" s="20"/>
      <c r="G2395" s="20"/>
      <c r="H2395" s="5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4"/>
      <c r="T2395" s="4"/>
      <c r="U2395" s="4"/>
      <c r="V2395" s="4"/>
      <c r="W2395" s="4"/>
      <c r="X2395" s="4"/>
      <c r="Y2395" s="4"/>
      <c r="Z2395" s="4"/>
      <c r="AA2395" s="4"/>
      <c r="AB2395" s="4"/>
      <c r="AC2395" s="4"/>
      <c r="AD2395" s="4"/>
      <c r="AE2395" s="4"/>
      <c r="AF2395" s="4"/>
      <c r="AG2395" s="4"/>
      <c r="AH2395" s="4"/>
      <c r="AI2395" s="4"/>
      <c r="AJ2395" s="4"/>
      <c r="AK2395" s="4"/>
      <c r="AL2395" s="4"/>
      <c r="AM2395" s="4"/>
      <c r="AN2395" s="4"/>
      <c r="AO2395" s="4"/>
      <c r="AP2395" s="4"/>
      <c r="AQ2395" s="4"/>
      <c r="AR2395" s="4"/>
      <c r="AS2395" s="4"/>
      <c r="AT2395" s="4"/>
      <c r="AU2395" s="4"/>
      <c r="AV2395" s="4"/>
    </row>
    <row r="2396" spans="4:48" x14ac:dyDescent="0.3">
      <c r="D2396" s="5"/>
      <c r="E2396" s="5"/>
      <c r="F2396" s="20"/>
      <c r="G2396" s="20"/>
      <c r="H2396" s="5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4"/>
      <c r="T2396" s="4"/>
      <c r="U2396" s="4"/>
      <c r="V2396" s="4"/>
      <c r="W2396" s="4"/>
      <c r="X2396" s="4"/>
      <c r="Y2396" s="4"/>
      <c r="Z2396" s="4"/>
      <c r="AA2396" s="4"/>
      <c r="AB2396" s="4"/>
      <c r="AC2396" s="4"/>
      <c r="AD2396" s="4"/>
      <c r="AE2396" s="4"/>
      <c r="AF2396" s="4"/>
      <c r="AG2396" s="4"/>
      <c r="AH2396" s="4"/>
      <c r="AI2396" s="4"/>
      <c r="AJ2396" s="4"/>
      <c r="AK2396" s="4"/>
      <c r="AL2396" s="4"/>
      <c r="AM2396" s="4"/>
      <c r="AN2396" s="4"/>
      <c r="AO2396" s="4"/>
      <c r="AP2396" s="4"/>
      <c r="AQ2396" s="4"/>
      <c r="AR2396" s="4"/>
      <c r="AS2396" s="4"/>
      <c r="AT2396" s="4"/>
      <c r="AU2396" s="4"/>
      <c r="AV2396" s="4"/>
    </row>
    <row r="2397" spans="4:48" x14ac:dyDescent="0.3">
      <c r="D2397" s="5"/>
      <c r="E2397" s="5"/>
      <c r="F2397" s="20"/>
      <c r="G2397" s="20"/>
      <c r="H2397" s="5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4"/>
      <c r="T2397" s="4"/>
      <c r="U2397" s="4"/>
      <c r="V2397" s="4"/>
      <c r="W2397" s="4"/>
      <c r="X2397" s="4"/>
      <c r="Y2397" s="4"/>
      <c r="Z2397" s="4"/>
      <c r="AA2397" s="4"/>
      <c r="AB2397" s="4"/>
      <c r="AC2397" s="4"/>
      <c r="AD2397" s="4"/>
      <c r="AE2397" s="4"/>
      <c r="AF2397" s="4"/>
      <c r="AG2397" s="4"/>
      <c r="AH2397" s="4"/>
      <c r="AI2397" s="4"/>
      <c r="AJ2397" s="4"/>
      <c r="AK2397" s="4"/>
      <c r="AL2397" s="4"/>
      <c r="AM2397" s="4"/>
      <c r="AN2397" s="4"/>
      <c r="AO2397" s="4"/>
      <c r="AP2397" s="4"/>
      <c r="AQ2397" s="4"/>
      <c r="AR2397" s="4"/>
      <c r="AS2397" s="4"/>
      <c r="AT2397" s="4"/>
      <c r="AU2397" s="4"/>
      <c r="AV2397" s="4"/>
    </row>
    <row r="2398" spans="4:48" x14ac:dyDescent="0.3">
      <c r="D2398" s="5"/>
      <c r="E2398" s="5"/>
      <c r="F2398" s="20"/>
      <c r="G2398" s="20"/>
      <c r="H2398" s="5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4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  <c r="AD2398" s="4"/>
      <c r="AE2398" s="4"/>
      <c r="AF2398" s="4"/>
      <c r="AG2398" s="4"/>
      <c r="AH2398" s="4"/>
      <c r="AI2398" s="4"/>
      <c r="AJ2398" s="4"/>
      <c r="AK2398" s="4"/>
      <c r="AL2398" s="4"/>
      <c r="AM2398" s="4"/>
      <c r="AN2398" s="4"/>
      <c r="AO2398" s="4"/>
      <c r="AP2398" s="4"/>
      <c r="AQ2398" s="4"/>
      <c r="AR2398" s="4"/>
      <c r="AS2398" s="4"/>
      <c r="AT2398" s="4"/>
      <c r="AU2398" s="4"/>
      <c r="AV2398" s="4"/>
    </row>
    <row r="2399" spans="4:48" x14ac:dyDescent="0.3">
      <c r="D2399" s="5"/>
      <c r="E2399" s="5"/>
      <c r="F2399" s="20"/>
      <c r="G2399" s="20"/>
      <c r="H2399" s="5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4"/>
      <c r="T2399" s="4"/>
      <c r="U2399" s="4"/>
      <c r="V2399" s="4"/>
      <c r="W2399" s="4"/>
      <c r="X2399" s="4"/>
      <c r="Y2399" s="4"/>
      <c r="Z2399" s="4"/>
      <c r="AA2399" s="4"/>
      <c r="AB2399" s="4"/>
      <c r="AC2399" s="4"/>
      <c r="AD2399" s="4"/>
      <c r="AE2399" s="4"/>
      <c r="AF2399" s="4"/>
      <c r="AG2399" s="4"/>
      <c r="AH2399" s="4"/>
      <c r="AI2399" s="4"/>
      <c r="AJ2399" s="4"/>
      <c r="AK2399" s="4"/>
      <c r="AL2399" s="4"/>
      <c r="AM2399" s="4"/>
      <c r="AN2399" s="4"/>
      <c r="AO2399" s="4"/>
      <c r="AP2399" s="4"/>
      <c r="AQ2399" s="4"/>
      <c r="AR2399" s="4"/>
      <c r="AS2399" s="4"/>
      <c r="AT2399" s="4"/>
      <c r="AU2399" s="4"/>
      <c r="AV2399" s="4"/>
    </row>
    <row r="2400" spans="4:48" x14ac:dyDescent="0.3">
      <c r="D2400" s="5"/>
      <c r="E2400" s="5"/>
      <c r="F2400" s="20"/>
      <c r="G2400" s="20"/>
      <c r="H2400" s="5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4"/>
      <c r="T2400" s="4"/>
      <c r="U2400" s="4"/>
      <c r="V2400" s="4"/>
      <c r="W2400" s="4"/>
      <c r="X2400" s="4"/>
      <c r="Y2400" s="4"/>
      <c r="Z2400" s="4"/>
      <c r="AA2400" s="4"/>
      <c r="AB2400" s="4"/>
      <c r="AC2400" s="4"/>
      <c r="AD2400" s="4"/>
      <c r="AE2400" s="4"/>
      <c r="AF2400" s="4"/>
      <c r="AG2400" s="4"/>
      <c r="AH2400" s="4"/>
      <c r="AI2400" s="4"/>
      <c r="AJ2400" s="4"/>
      <c r="AK2400" s="4"/>
      <c r="AL2400" s="4"/>
      <c r="AM2400" s="4"/>
      <c r="AN2400" s="4"/>
      <c r="AO2400" s="4"/>
      <c r="AP2400" s="4"/>
      <c r="AQ2400" s="4"/>
      <c r="AR2400" s="4"/>
      <c r="AS2400" s="4"/>
      <c r="AT2400" s="4"/>
      <c r="AU2400" s="4"/>
      <c r="AV2400" s="4"/>
    </row>
    <row r="2401" spans="4:48" x14ac:dyDescent="0.3">
      <c r="D2401" s="5"/>
      <c r="E2401" s="5"/>
      <c r="F2401" s="20"/>
      <c r="G2401" s="20"/>
      <c r="H2401" s="5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4"/>
      <c r="T2401" s="4"/>
      <c r="U2401" s="4"/>
      <c r="V2401" s="4"/>
      <c r="W2401" s="4"/>
      <c r="X2401" s="4"/>
      <c r="Y2401" s="4"/>
      <c r="Z2401" s="4"/>
      <c r="AA2401" s="4"/>
      <c r="AB2401" s="4"/>
      <c r="AC2401" s="4"/>
      <c r="AD2401" s="4"/>
      <c r="AE2401" s="4"/>
      <c r="AF2401" s="4"/>
      <c r="AG2401" s="4"/>
      <c r="AH2401" s="4"/>
      <c r="AI2401" s="4"/>
      <c r="AJ2401" s="4"/>
      <c r="AK2401" s="4"/>
      <c r="AL2401" s="4"/>
      <c r="AM2401" s="4"/>
      <c r="AN2401" s="4"/>
      <c r="AO2401" s="4"/>
      <c r="AP2401" s="4"/>
      <c r="AQ2401" s="4"/>
      <c r="AR2401" s="4"/>
      <c r="AS2401" s="4"/>
      <c r="AT2401" s="4"/>
      <c r="AU2401" s="4"/>
      <c r="AV2401" s="4"/>
    </row>
    <row r="2402" spans="4:48" x14ac:dyDescent="0.3">
      <c r="D2402" s="5"/>
      <c r="E2402" s="5"/>
      <c r="F2402" s="20"/>
      <c r="G2402" s="20"/>
      <c r="H2402" s="5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4"/>
      <c r="T2402" s="4"/>
      <c r="U2402" s="4"/>
      <c r="V2402" s="4"/>
      <c r="W2402" s="4"/>
      <c r="X2402" s="4"/>
      <c r="Y2402" s="4"/>
      <c r="Z2402" s="4"/>
      <c r="AA2402" s="4"/>
      <c r="AB2402" s="4"/>
      <c r="AC2402" s="4"/>
      <c r="AD2402" s="4"/>
      <c r="AE2402" s="4"/>
      <c r="AF2402" s="4"/>
      <c r="AG2402" s="4"/>
      <c r="AH2402" s="4"/>
      <c r="AI2402" s="4"/>
      <c r="AJ2402" s="4"/>
      <c r="AK2402" s="4"/>
      <c r="AL2402" s="4"/>
      <c r="AM2402" s="4"/>
      <c r="AN2402" s="4"/>
      <c r="AO2402" s="4"/>
      <c r="AP2402" s="4"/>
      <c r="AQ2402" s="4"/>
      <c r="AR2402" s="4"/>
      <c r="AS2402" s="4"/>
      <c r="AT2402" s="4"/>
      <c r="AU2402" s="4"/>
      <c r="AV2402" s="4"/>
    </row>
    <row r="2403" spans="4:48" x14ac:dyDescent="0.3">
      <c r="D2403" s="5"/>
      <c r="E2403" s="5"/>
      <c r="F2403" s="20"/>
      <c r="G2403" s="20"/>
      <c r="H2403" s="5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4"/>
      <c r="T2403" s="4"/>
      <c r="U2403" s="4"/>
      <c r="V2403" s="4"/>
      <c r="W2403" s="4"/>
      <c r="X2403" s="4"/>
      <c r="Y2403" s="4"/>
      <c r="Z2403" s="4"/>
      <c r="AA2403" s="4"/>
      <c r="AB2403" s="4"/>
      <c r="AC2403" s="4"/>
      <c r="AD2403" s="4"/>
      <c r="AE2403" s="4"/>
      <c r="AF2403" s="4"/>
      <c r="AG2403" s="4"/>
      <c r="AH2403" s="4"/>
      <c r="AI2403" s="4"/>
      <c r="AJ2403" s="4"/>
      <c r="AK2403" s="4"/>
      <c r="AL2403" s="4"/>
      <c r="AM2403" s="4"/>
      <c r="AN2403" s="4"/>
      <c r="AO2403" s="4"/>
      <c r="AP2403" s="4"/>
      <c r="AQ2403" s="4"/>
      <c r="AR2403" s="4"/>
      <c r="AS2403" s="4"/>
      <c r="AT2403" s="4"/>
      <c r="AU2403" s="4"/>
      <c r="AV2403" s="4"/>
    </row>
    <row r="2404" spans="4:48" x14ac:dyDescent="0.3">
      <c r="D2404" s="5"/>
      <c r="E2404" s="5"/>
      <c r="F2404" s="20"/>
      <c r="G2404" s="20"/>
      <c r="H2404" s="5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4"/>
      <c r="T2404" s="4"/>
      <c r="U2404" s="4"/>
      <c r="V2404" s="4"/>
      <c r="W2404" s="4"/>
      <c r="X2404" s="4"/>
      <c r="Y2404" s="4"/>
      <c r="Z2404" s="4"/>
      <c r="AA2404" s="4"/>
      <c r="AB2404" s="4"/>
      <c r="AC2404" s="4"/>
      <c r="AD2404" s="4"/>
      <c r="AE2404" s="4"/>
      <c r="AF2404" s="4"/>
      <c r="AG2404" s="4"/>
      <c r="AH2404" s="4"/>
      <c r="AI2404" s="4"/>
      <c r="AJ2404" s="4"/>
      <c r="AK2404" s="4"/>
      <c r="AL2404" s="4"/>
      <c r="AM2404" s="4"/>
      <c r="AN2404" s="4"/>
      <c r="AO2404" s="4"/>
      <c r="AP2404" s="4"/>
      <c r="AQ2404" s="4"/>
      <c r="AR2404" s="4"/>
      <c r="AS2404" s="4"/>
      <c r="AT2404" s="4"/>
      <c r="AU2404" s="4"/>
      <c r="AV2404" s="4"/>
    </row>
    <row r="2405" spans="4:48" x14ac:dyDescent="0.3">
      <c r="D2405" s="5"/>
      <c r="E2405" s="5"/>
      <c r="F2405" s="20"/>
      <c r="G2405" s="20"/>
      <c r="H2405" s="5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4"/>
      <c r="T2405" s="4"/>
      <c r="U2405" s="4"/>
      <c r="V2405" s="4"/>
      <c r="W2405" s="4"/>
      <c r="X2405" s="4"/>
      <c r="Y2405" s="4"/>
      <c r="Z2405" s="4"/>
      <c r="AA2405" s="4"/>
      <c r="AB2405" s="4"/>
      <c r="AC2405" s="4"/>
      <c r="AD2405" s="4"/>
      <c r="AE2405" s="4"/>
      <c r="AF2405" s="4"/>
      <c r="AG2405" s="4"/>
      <c r="AH2405" s="4"/>
      <c r="AI2405" s="4"/>
      <c r="AJ2405" s="4"/>
      <c r="AK2405" s="4"/>
      <c r="AL2405" s="4"/>
      <c r="AM2405" s="4"/>
      <c r="AN2405" s="4"/>
      <c r="AO2405" s="4"/>
      <c r="AP2405" s="4"/>
      <c r="AQ2405" s="4"/>
      <c r="AR2405" s="4"/>
      <c r="AS2405" s="4"/>
      <c r="AT2405" s="4"/>
      <c r="AU2405" s="4"/>
      <c r="AV2405" s="4"/>
    </row>
    <row r="2406" spans="4:48" x14ac:dyDescent="0.3">
      <c r="D2406" s="5"/>
      <c r="E2406" s="5"/>
      <c r="F2406" s="20"/>
      <c r="G2406" s="20"/>
      <c r="H2406" s="5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4"/>
      <c r="T2406" s="4"/>
      <c r="U2406" s="4"/>
      <c r="V2406" s="4"/>
      <c r="W2406" s="4"/>
      <c r="X2406" s="4"/>
      <c r="Y2406" s="4"/>
      <c r="Z2406" s="4"/>
      <c r="AA2406" s="4"/>
      <c r="AB2406" s="4"/>
      <c r="AC2406" s="4"/>
      <c r="AD2406" s="4"/>
      <c r="AE2406" s="4"/>
      <c r="AF2406" s="4"/>
      <c r="AG2406" s="4"/>
      <c r="AH2406" s="4"/>
      <c r="AI2406" s="4"/>
      <c r="AJ2406" s="4"/>
      <c r="AK2406" s="4"/>
      <c r="AL2406" s="4"/>
      <c r="AM2406" s="4"/>
      <c r="AN2406" s="4"/>
      <c r="AO2406" s="4"/>
      <c r="AP2406" s="4"/>
      <c r="AQ2406" s="4"/>
      <c r="AR2406" s="4"/>
      <c r="AS2406" s="4"/>
      <c r="AT2406" s="4"/>
      <c r="AU2406" s="4"/>
      <c r="AV2406" s="4"/>
    </row>
    <row r="2407" spans="4:48" x14ac:dyDescent="0.3">
      <c r="D2407" s="5"/>
      <c r="E2407" s="5"/>
      <c r="F2407" s="20"/>
      <c r="G2407" s="20"/>
      <c r="H2407" s="5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4"/>
      <c r="T2407" s="4"/>
      <c r="U2407" s="4"/>
      <c r="V2407" s="4"/>
      <c r="W2407" s="4"/>
      <c r="X2407" s="4"/>
      <c r="Y2407" s="4"/>
      <c r="Z2407" s="4"/>
      <c r="AA2407" s="4"/>
      <c r="AB2407" s="4"/>
      <c r="AC2407" s="4"/>
      <c r="AD2407" s="4"/>
      <c r="AE2407" s="4"/>
      <c r="AF2407" s="4"/>
      <c r="AG2407" s="4"/>
      <c r="AH2407" s="4"/>
      <c r="AI2407" s="4"/>
      <c r="AJ2407" s="4"/>
      <c r="AK2407" s="4"/>
      <c r="AL2407" s="4"/>
      <c r="AM2407" s="4"/>
      <c r="AN2407" s="4"/>
      <c r="AO2407" s="4"/>
      <c r="AP2407" s="4"/>
      <c r="AQ2407" s="4"/>
      <c r="AR2407" s="4"/>
      <c r="AS2407" s="4"/>
      <c r="AT2407" s="4"/>
      <c r="AU2407" s="4"/>
      <c r="AV2407" s="4"/>
    </row>
    <row r="2408" spans="4:48" x14ac:dyDescent="0.3">
      <c r="D2408" s="5"/>
      <c r="E2408" s="5"/>
      <c r="F2408" s="20"/>
      <c r="G2408" s="20"/>
      <c r="H2408" s="5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4"/>
      <c r="T2408" s="4"/>
      <c r="U2408" s="4"/>
      <c r="V2408" s="4"/>
      <c r="W2408" s="4"/>
      <c r="X2408" s="4"/>
      <c r="Y2408" s="4"/>
      <c r="Z2408" s="4"/>
      <c r="AA2408" s="4"/>
      <c r="AB2408" s="4"/>
      <c r="AC2408" s="4"/>
      <c r="AD2408" s="4"/>
      <c r="AE2408" s="4"/>
      <c r="AF2408" s="4"/>
      <c r="AG2408" s="4"/>
      <c r="AH2408" s="4"/>
      <c r="AI2408" s="4"/>
      <c r="AJ2408" s="4"/>
      <c r="AK2408" s="4"/>
      <c r="AL2408" s="4"/>
      <c r="AM2408" s="4"/>
      <c r="AN2408" s="4"/>
      <c r="AO2408" s="4"/>
      <c r="AP2408" s="4"/>
      <c r="AQ2408" s="4"/>
      <c r="AR2408" s="4"/>
      <c r="AS2408" s="4"/>
      <c r="AT2408" s="4"/>
      <c r="AU2408" s="4"/>
      <c r="AV2408" s="4"/>
    </row>
    <row r="2409" spans="4:48" x14ac:dyDescent="0.3">
      <c r="D2409" s="5"/>
      <c r="E2409" s="5"/>
      <c r="F2409" s="20"/>
      <c r="G2409" s="20"/>
      <c r="H2409" s="5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4"/>
      <c r="T2409" s="4"/>
      <c r="U2409" s="4"/>
      <c r="V2409" s="4"/>
      <c r="W2409" s="4"/>
      <c r="X2409" s="4"/>
      <c r="Y2409" s="4"/>
      <c r="Z2409" s="4"/>
      <c r="AA2409" s="4"/>
      <c r="AB2409" s="4"/>
      <c r="AC2409" s="4"/>
      <c r="AD2409" s="4"/>
      <c r="AE2409" s="4"/>
      <c r="AF2409" s="4"/>
      <c r="AG2409" s="4"/>
      <c r="AH2409" s="4"/>
      <c r="AI2409" s="4"/>
      <c r="AJ2409" s="4"/>
      <c r="AK2409" s="4"/>
      <c r="AL2409" s="4"/>
      <c r="AM2409" s="4"/>
      <c r="AN2409" s="4"/>
      <c r="AO2409" s="4"/>
      <c r="AP2409" s="4"/>
      <c r="AQ2409" s="4"/>
      <c r="AR2409" s="4"/>
      <c r="AS2409" s="4"/>
      <c r="AT2409" s="4"/>
      <c r="AU2409" s="4"/>
      <c r="AV2409" s="4"/>
    </row>
    <row r="2410" spans="4:48" x14ac:dyDescent="0.3">
      <c r="D2410" s="5"/>
      <c r="E2410" s="5"/>
      <c r="F2410" s="20"/>
      <c r="G2410" s="20"/>
      <c r="H2410" s="5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4"/>
      <c r="T2410" s="4"/>
      <c r="U2410" s="4"/>
      <c r="V2410" s="4"/>
      <c r="W2410" s="4"/>
      <c r="X2410" s="4"/>
      <c r="Y2410" s="4"/>
      <c r="Z2410" s="4"/>
      <c r="AA2410" s="4"/>
      <c r="AB2410" s="4"/>
      <c r="AC2410" s="4"/>
      <c r="AD2410" s="4"/>
      <c r="AE2410" s="4"/>
      <c r="AF2410" s="4"/>
      <c r="AG2410" s="4"/>
      <c r="AH2410" s="4"/>
      <c r="AI2410" s="4"/>
      <c r="AJ2410" s="4"/>
      <c r="AK2410" s="4"/>
      <c r="AL2410" s="4"/>
      <c r="AM2410" s="4"/>
      <c r="AN2410" s="4"/>
      <c r="AO2410" s="4"/>
      <c r="AP2410" s="4"/>
      <c r="AQ2410" s="4"/>
      <c r="AR2410" s="4"/>
      <c r="AS2410" s="4"/>
      <c r="AT2410" s="4"/>
      <c r="AU2410" s="4"/>
      <c r="AV2410" s="4"/>
    </row>
    <row r="2411" spans="4:48" x14ac:dyDescent="0.3">
      <c r="D2411" s="5"/>
      <c r="E2411" s="5"/>
      <c r="F2411" s="20"/>
      <c r="G2411" s="20"/>
      <c r="H2411" s="5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4"/>
      <c r="T2411" s="4"/>
      <c r="U2411" s="4"/>
      <c r="V2411" s="4"/>
      <c r="W2411" s="4"/>
      <c r="X2411" s="4"/>
      <c r="Y2411" s="4"/>
      <c r="Z2411" s="4"/>
      <c r="AA2411" s="4"/>
      <c r="AB2411" s="4"/>
      <c r="AC2411" s="4"/>
      <c r="AD2411" s="4"/>
      <c r="AE2411" s="4"/>
      <c r="AF2411" s="4"/>
      <c r="AG2411" s="4"/>
      <c r="AH2411" s="4"/>
      <c r="AI2411" s="4"/>
      <c r="AJ2411" s="4"/>
      <c r="AK2411" s="4"/>
      <c r="AL2411" s="4"/>
      <c r="AM2411" s="4"/>
      <c r="AN2411" s="4"/>
      <c r="AO2411" s="4"/>
      <c r="AP2411" s="4"/>
      <c r="AQ2411" s="4"/>
      <c r="AR2411" s="4"/>
      <c r="AS2411" s="4"/>
      <c r="AT2411" s="4"/>
      <c r="AU2411" s="4"/>
      <c r="AV2411" s="4"/>
    </row>
    <row r="2412" spans="4:48" x14ac:dyDescent="0.3">
      <c r="D2412" s="5"/>
      <c r="E2412" s="5"/>
      <c r="F2412" s="20"/>
      <c r="G2412" s="20"/>
      <c r="H2412" s="5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4"/>
      <c r="T2412" s="4"/>
      <c r="U2412" s="4"/>
      <c r="V2412" s="4"/>
      <c r="W2412" s="4"/>
      <c r="X2412" s="4"/>
      <c r="Y2412" s="4"/>
      <c r="Z2412" s="4"/>
      <c r="AA2412" s="4"/>
      <c r="AB2412" s="4"/>
      <c r="AC2412" s="4"/>
      <c r="AD2412" s="4"/>
      <c r="AE2412" s="4"/>
      <c r="AF2412" s="4"/>
      <c r="AG2412" s="4"/>
      <c r="AH2412" s="4"/>
      <c r="AI2412" s="4"/>
      <c r="AJ2412" s="4"/>
      <c r="AK2412" s="4"/>
      <c r="AL2412" s="4"/>
      <c r="AM2412" s="4"/>
      <c r="AN2412" s="4"/>
      <c r="AO2412" s="4"/>
      <c r="AP2412" s="4"/>
      <c r="AQ2412" s="4"/>
      <c r="AR2412" s="4"/>
      <c r="AS2412" s="4"/>
      <c r="AT2412" s="4"/>
      <c r="AU2412" s="4"/>
      <c r="AV2412" s="4"/>
    </row>
    <row r="2413" spans="4:48" x14ac:dyDescent="0.3">
      <c r="D2413" s="5"/>
      <c r="E2413" s="5"/>
      <c r="F2413" s="20"/>
      <c r="G2413" s="20"/>
      <c r="H2413" s="5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4"/>
      <c r="T2413" s="4"/>
      <c r="U2413" s="4"/>
      <c r="V2413" s="4"/>
      <c r="W2413" s="4"/>
      <c r="X2413" s="4"/>
      <c r="Y2413" s="4"/>
      <c r="Z2413" s="4"/>
      <c r="AA2413" s="4"/>
      <c r="AB2413" s="4"/>
      <c r="AC2413" s="4"/>
      <c r="AD2413" s="4"/>
      <c r="AE2413" s="4"/>
      <c r="AF2413" s="4"/>
      <c r="AG2413" s="4"/>
      <c r="AH2413" s="4"/>
      <c r="AI2413" s="4"/>
      <c r="AJ2413" s="4"/>
      <c r="AK2413" s="4"/>
      <c r="AL2413" s="4"/>
      <c r="AM2413" s="4"/>
      <c r="AN2413" s="4"/>
      <c r="AO2413" s="4"/>
      <c r="AP2413" s="4"/>
      <c r="AQ2413" s="4"/>
      <c r="AR2413" s="4"/>
      <c r="AS2413" s="4"/>
      <c r="AT2413" s="4"/>
      <c r="AU2413" s="4"/>
      <c r="AV2413" s="4"/>
    </row>
    <row r="2414" spans="4:48" x14ac:dyDescent="0.3">
      <c r="D2414" s="5"/>
      <c r="E2414" s="5"/>
      <c r="F2414" s="20"/>
      <c r="G2414" s="20"/>
      <c r="H2414" s="5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4"/>
      <c r="T2414" s="4"/>
      <c r="U2414" s="4"/>
      <c r="V2414" s="4"/>
      <c r="W2414" s="4"/>
      <c r="X2414" s="4"/>
      <c r="Y2414" s="4"/>
      <c r="Z2414" s="4"/>
      <c r="AA2414" s="4"/>
      <c r="AB2414" s="4"/>
      <c r="AC2414" s="4"/>
      <c r="AD2414" s="4"/>
      <c r="AE2414" s="4"/>
      <c r="AF2414" s="4"/>
      <c r="AG2414" s="4"/>
      <c r="AH2414" s="4"/>
      <c r="AI2414" s="4"/>
      <c r="AJ2414" s="4"/>
      <c r="AK2414" s="4"/>
      <c r="AL2414" s="4"/>
      <c r="AM2414" s="4"/>
      <c r="AN2414" s="4"/>
      <c r="AO2414" s="4"/>
      <c r="AP2414" s="4"/>
      <c r="AQ2414" s="4"/>
      <c r="AR2414" s="4"/>
      <c r="AS2414" s="4"/>
      <c r="AT2414" s="4"/>
      <c r="AU2414" s="4"/>
      <c r="AV2414" s="4"/>
    </row>
    <row r="2415" spans="4:48" x14ac:dyDescent="0.3">
      <c r="D2415" s="5"/>
      <c r="E2415" s="5"/>
      <c r="F2415" s="20"/>
      <c r="G2415" s="20"/>
      <c r="H2415" s="5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4"/>
      <c r="T2415" s="4"/>
      <c r="U2415" s="4"/>
      <c r="V2415" s="4"/>
      <c r="W2415" s="4"/>
      <c r="X2415" s="4"/>
      <c r="Y2415" s="4"/>
      <c r="Z2415" s="4"/>
      <c r="AA2415" s="4"/>
      <c r="AB2415" s="4"/>
      <c r="AC2415" s="4"/>
      <c r="AD2415" s="4"/>
      <c r="AE2415" s="4"/>
      <c r="AF2415" s="4"/>
      <c r="AG2415" s="4"/>
      <c r="AH2415" s="4"/>
      <c r="AI2415" s="4"/>
      <c r="AJ2415" s="4"/>
      <c r="AK2415" s="4"/>
      <c r="AL2415" s="4"/>
      <c r="AM2415" s="4"/>
      <c r="AN2415" s="4"/>
      <c r="AO2415" s="4"/>
      <c r="AP2415" s="4"/>
      <c r="AQ2415" s="4"/>
      <c r="AR2415" s="4"/>
      <c r="AS2415" s="4"/>
      <c r="AT2415" s="4"/>
      <c r="AU2415" s="4"/>
      <c r="AV2415" s="4"/>
    </row>
    <row r="2416" spans="4:48" x14ac:dyDescent="0.3">
      <c r="D2416" s="5"/>
      <c r="E2416" s="5"/>
      <c r="F2416" s="20"/>
      <c r="G2416" s="20"/>
      <c r="H2416" s="5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4"/>
      <c r="T2416" s="4"/>
      <c r="U2416" s="4"/>
      <c r="V2416" s="4"/>
      <c r="W2416" s="4"/>
      <c r="X2416" s="4"/>
      <c r="Y2416" s="4"/>
      <c r="Z2416" s="4"/>
      <c r="AA2416" s="4"/>
      <c r="AB2416" s="4"/>
      <c r="AC2416" s="4"/>
      <c r="AD2416" s="4"/>
      <c r="AE2416" s="4"/>
      <c r="AF2416" s="4"/>
      <c r="AG2416" s="4"/>
      <c r="AH2416" s="4"/>
      <c r="AI2416" s="4"/>
      <c r="AJ2416" s="4"/>
      <c r="AK2416" s="4"/>
      <c r="AL2416" s="4"/>
      <c r="AM2416" s="4"/>
      <c r="AN2416" s="4"/>
      <c r="AO2416" s="4"/>
      <c r="AP2416" s="4"/>
      <c r="AQ2416" s="4"/>
      <c r="AR2416" s="4"/>
      <c r="AS2416" s="4"/>
      <c r="AT2416" s="4"/>
      <c r="AU2416" s="4"/>
      <c r="AV2416" s="4"/>
    </row>
    <row r="2417" spans="4:48" x14ac:dyDescent="0.3">
      <c r="D2417" s="5"/>
      <c r="E2417" s="5"/>
      <c r="F2417" s="20"/>
      <c r="G2417" s="20"/>
      <c r="H2417" s="5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4"/>
      <c r="T2417" s="4"/>
      <c r="U2417" s="4"/>
      <c r="V2417" s="4"/>
      <c r="W2417" s="4"/>
      <c r="X2417" s="4"/>
      <c r="Y2417" s="4"/>
      <c r="Z2417" s="4"/>
      <c r="AA2417" s="4"/>
      <c r="AB2417" s="4"/>
      <c r="AC2417" s="4"/>
      <c r="AD2417" s="4"/>
      <c r="AE2417" s="4"/>
      <c r="AF2417" s="4"/>
      <c r="AG2417" s="4"/>
      <c r="AH2417" s="4"/>
      <c r="AI2417" s="4"/>
      <c r="AJ2417" s="4"/>
      <c r="AK2417" s="4"/>
      <c r="AL2417" s="4"/>
      <c r="AM2417" s="4"/>
      <c r="AN2417" s="4"/>
      <c r="AO2417" s="4"/>
      <c r="AP2417" s="4"/>
      <c r="AQ2417" s="4"/>
      <c r="AR2417" s="4"/>
      <c r="AS2417" s="4"/>
      <c r="AT2417" s="4"/>
      <c r="AU2417" s="4"/>
      <c r="AV2417" s="4"/>
    </row>
    <row r="2418" spans="4:48" x14ac:dyDescent="0.3">
      <c r="D2418" s="5"/>
      <c r="E2418" s="5"/>
      <c r="F2418" s="20"/>
      <c r="G2418" s="20"/>
      <c r="H2418" s="5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4"/>
      <c r="T2418" s="4"/>
      <c r="U2418" s="4"/>
      <c r="V2418" s="4"/>
      <c r="W2418" s="4"/>
      <c r="X2418" s="4"/>
      <c r="Y2418" s="4"/>
      <c r="Z2418" s="4"/>
      <c r="AA2418" s="4"/>
      <c r="AB2418" s="4"/>
      <c r="AC2418" s="4"/>
      <c r="AD2418" s="4"/>
      <c r="AE2418" s="4"/>
      <c r="AF2418" s="4"/>
      <c r="AG2418" s="4"/>
      <c r="AH2418" s="4"/>
      <c r="AI2418" s="4"/>
      <c r="AJ2418" s="4"/>
      <c r="AK2418" s="4"/>
      <c r="AL2418" s="4"/>
      <c r="AM2418" s="4"/>
      <c r="AN2418" s="4"/>
      <c r="AO2418" s="4"/>
      <c r="AP2418" s="4"/>
      <c r="AQ2418" s="4"/>
      <c r="AR2418" s="4"/>
      <c r="AS2418" s="4"/>
      <c r="AT2418" s="4"/>
      <c r="AU2418" s="4"/>
      <c r="AV2418" s="4"/>
    </row>
    <row r="2419" spans="4:48" x14ac:dyDescent="0.3">
      <c r="D2419" s="5"/>
      <c r="E2419" s="5"/>
      <c r="F2419" s="20"/>
      <c r="G2419" s="20"/>
      <c r="H2419" s="5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4"/>
      <c r="T2419" s="4"/>
      <c r="U2419" s="4"/>
      <c r="V2419" s="4"/>
      <c r="W2419" s="4"/>
      <c r="X2419" s="4"/>
      <c r="Y2419" s="4"/>
      <c r="Z2419" s="4"/>
      <c r="AA2419" s="4"/>
      <c r="AB2419" s="4"/>
      <c r="AC2419" s="4"/>
      <c r="AD2419" s="4"/>
      <c r="AE2419" s="4"/>
      <c r="AF2419" s="4"/>
      <c r="AG2419" s="4"/>
      <c r="AH2419" s="4"/>
      <c r="AI2419" s="4"/>
      <c r="AJ2419" s="4"/>
      <c r="AK2419" s="4"/>
      <c r="AL2419" s="4"/>
      <c r="AM2419" s="4"/>
      <c r="AN2419" s="4"/>
      <c r="AO2419" s="4"/>
      <c r="AP2419" s="4"/>
      <c r="AQ2419" s="4"/>
      <c r="AR2419" s="4"/>
      <c r="AS2419" s="4"/>
      <c r="AT2419" s="4"/>
      <c r="AU2419" s="4"/>
      <c r="AV2419" s="4"/>
    </row>
    <row r="2420" spans="4:48" x14ac:dyDescent="0.3">
      <c r="D2420" s="5"/>
      <c r="E2420" s="5"/>
      <c r="F2420" s="20"/>
      <c r="G2420" s="20"/>
      <c r="H2420" s="5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4"/>
      <c r="T2420" s="4"/>
      <c r="U2420" s="4"/>
      <c r="V2420" s="4"/>
      <c r="W2420" s="4"/>
      <c r="X2420" s="4"/>
      <c r="Y2420" s="4"/>
      <c r="Z2420" s="4"/>
      <c r="AA2420" s="4"/>
      <c r="AB2420" s="4"/>
      <c r="AC2420" s="4"/>
      <c r="AD2420" s="4"/>
      <c r="AE2420" s="4"/>
      <c r="AF2420" s="4"/>
      <c r="AG2420" s="4"/>
      <c r="AH2420" s="4"/>
      <c r="AI2420" s="4"/>
      <c r="AJ2420" s="4"/>
      <c r="AK2420" s="4"/>
      <c r="AL2420" s="4"/>
      <c r="AM2420" s="4"/>
      <c r="AN2420" s="4"/>
      <c r="AO2420" s="4"/>
      <c r="AP2420" s="4"/>
      <c r="AQ2420" s="4"/>
      <c r="AR2420" s="4"/>
      <c r="AS2420" s="4"/>
      <c r="AT2420" s="4"/>
      <c r="AU2420" s="4"/>
      <c r="AV2420" s="4"/>
    </row>
    <row r="2421" spans="4:48" x14ac:dyDescent="0.3">
      <c r="D2421" s="5"/>
      <c r="E2421" s="5"/>
      <c r="F2421" s="20"/>
      <c r="G2421" s="20"/>
      <c r="H2421" s="5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4"/>
      <c r="T2421" s="4"/>
      <c r="U2421" s="4"/>
      <c r="V2421" s="4"/>
      <c r="W2421" s="4"/>
      <c r="X2421" s="4"/>
      <c r="Y2421" s="4"/>
      <c r="Z2421" s="4"/>
      <c r="AA2421" s="4"/>
      <c r="AB2421" s="4"/>
      <c r="AC2421" s="4"/>
      <c r="AD2421" s="4"/>
      <c r="AE2421" s="4"/>
      <c r="AF2421" s="4"/>
      <c r="AG2421" s="4"/>
      <c r="AH2421" s="4"/>
      <c r="AI2421" s="4"/>
      <c r="AJ2421" s="4"/>
      <c r="AK2421" s="4"/>
      <c r="AL2421" s="4"/>
      <c r="AM2421" s="4"/>
      <c r="AN2421" s="4"/>
      <c r="AO2421" s="4"/>
      <c r="AP2421" s="4"/>
      <c r="AQ2421" s="4"/>
      <c r="AR2421" s="4"/>
      <c r="AS2421" s="4"/>
      <c r="AT2421" s="4"/>
      <c r="AU2421" s="4"/>
      <c r="AV2421" s="4"/>
    </row>
    <row r="2422" spans="4:48" x14ac:dyDescent="0.3">
      <c r="D2422" s="5"/>
      <c r="E2422" s="5"/>
      <c r="F2422" s="20"/>
      <c r="G2422" s="20"/>
      <c r="H2422" s="5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4"/>
      <c r="T2422" s="4"/>
      <c r="U2422" s="4"/>
      <c r="V2422" s="4"/>
      <c r="W2422" s="4"/>
      <c r="X2422" s="4"/>
      <c r="Y2422" s="4"/>
      <c r="Z2422" s="4"/>
      <c r="AA2422" s="4"/>
      <c r="AB2422" s="4"/>
      <c r="AC2422" s="4"/>
      <c r="AD2422" s="4"/>
      <c r="AE2422" s="4"/>
      <c r="AF2422" s="4"/>
      <c r="AG2422" s="4"/>
      <c r="AH2422" s="4"/>
      <c r="AI2422" s="4"/>
      <c r="AJ2422" s="4"/>
      <c r="AK2422" s="4"/>
      <c r="AL2422" s="4"/>
      <c r="AM2422" s="4"/>
      <c r="AN2422" s="4"/>
      <c r="AO2422" s="4"/>
      <c r="AP2422" s="4"/>
      <c r="AQ2422" s="4"/>
      <c r="AR2422" s="4"/>
      <c r="AS2422" s="4"/>
      <c r="AT2422" s="4"/>
      <c r="AU2422" s="4"/>
      <c r="AV2422" s="4"/>
    </row>
    <row r="2423" spans="4:48" x14ac:dyDescent="0.3">
      <c r="D2423" s="5"/>
      <c r="E2423" s="5"/>
      <c r="F2423" s="20"/>
      <c r="G2423" s="20"/>
      <c r="H2423" s="5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4"/>
      <c r="T2423" s="4"/>
      <c r="U2423" s="4"/>
      <c r="V2423" s="4"/>
      <c r="W2423" s="4"/>
      <c r="X2423" s="4"/>
      <c r="Y2423" s="4"/>
      <c r="Z2423" s="4"/>
      <c r="AA2423" s="4"/>
      <c r="AB2423" s="4"/>
      <c r="AC2423" s="4"/>
      <c r="AD2423" s="4"/>
      <c r="AE2423" s="4"/>
      <c r="AF2423" s="4"/>
      <c r="AG2423" s="4"/>
      <c r="AH2423" s="4"/>
      <c r="AI2423" s="4"/>
      <c r="AJ2423" s="4"/>
      <c r="AK2423" s="4"/>
      <c r="AL2423" s="4"/>
      <c r="AM2423" s="4"/>
      <c r="AN2423" s="4"/>
      <c r="AO2423" s="4"/>
      <c r="AP2423" s="4"/>
      <c r="AQ2423" s="4"/>
      <c r="AR2423" s="4"/>
      <c r="AS2423" s="4"/>
      <c r="AT2423" s="4"/>
      <c r="AU2423" s="4"/>
      <c r="AV2423" s="4"/>
    </row>
    <row r="2424" spans="4:48" x14ac:dyDescent="0.3">
      <c r="D2424" s="5"/>
      <c r="E2424" s="5"/>
      <c r="F2424" s="20"/>
      <c r="G2424" s="20"/>
      <c r="H2424" s="5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4"/>
      <c r="T2424" s="4"/>
      <c r="U2424" s="4"/>
      <c r="V2424" s="4"/>
      <c r="W2424" s="4"/>
      <c r="X2424" s="4"/>
      <c r="Y2424" s="4"/>
      <c r="Z2424" s="4"/>
      <c r="AA2424" s="4"/>
      <c r="AB2424" s="4"/>
      <c r="AC2424" s="4"/>
      <c r="AD2424" s="4"/>
      <c r="AE2424" s="4"/>
      <c r="AF2424" s="4"/>
      <c r="AG2424" s="4"/>
      <c r="AH2424" s="4"/>
      <c r="AI2424" s="4"/>
      <c r="AJ2424" s="4"/>
      <c r="AK2424" s="4"/>
      <c r="AL2424" s="4"/>
      <c r="AM2424" s="4"/>
      <c r="AN2424" s="4"/>
      <c r="AO2424" s="4"/>
      <c r="AP2424" s="4"/>
      <c r="AQ2424" s="4"/>
      <c r="AR2424" s="4"/>
      <c r="AS2424" s="4"/>
      <c r="AT2424" s="4"/>
      <c r="AU2424" s="4"/>
      <c r="AV2424" s="4"/>
    </row>
    <row r="2425" spans="4:48" x14ac:dyDescent="0.3">
      <c r="D2425" s="5"/>
      <c r="E2425" s="5"/>
      <c r="F2425" s="20"/>
      <c r="G2425" s="20"/>
      <c r="H2425" s="5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4"/>
      <c r="T2425" s="4"/>
      <c r="U2425" s="4"/>
      <c r="V2425" s="4"/>
      <c r="W2425" s="4"/>
      <c r="X2425" s="4"/>
      <c r="Y2425" s="4"/>
      <c r="Z2425" s="4"/>
      <c r="AA2425" s="4"/>
      <c r="AB2425" s="4"/>
      <c r="AC2425" s="4"/>
      <c r="AD2425" s="4"/>
      <c r="AE2425" s="4"/>
      <c r="AF2425" s="4"/>
      <c r="AG2425" s="4"/>
      <c r="AH2425" s="4"/>
      <c r="AI2425" s="4"/>
      <c r="AJ2425" s="4"/>
      <c r="AK2425" s="4"/>
      <c r="AL2425" s="4"/>
      <c r="AM2425" s="4"/>
      <c r="AN2425" s="4"/>
      <c r="AO2425" s="4"/>
      <c r="AP2425" s="4"/>
      <c r="AQ2425" s="4"/>
      <c r="AR2425" s="4"/>
      <c r="AS2425" s="4"/>
      <c r="AT2425" s="4"/>
      <c r="AU2425" s="4"/>
      <c r="AV2425" s="4"/>
    </row>
    <row r="2426" spans="4:48" x14ac:dyDescent="0.3">
      <c r="D2426" s="5"/>
      <c r="E2426" s="5"/>
      <c r="F2426" s="20"/>
      <c r="G2426" s="20"/>
      <c r="H2426" s="5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4"/>
      <c r="T2426" s="4"/>
      <c r="U2426" s="4"/>
      <c r="V2426" s="4"/>
      <c r="W2426" s="4"/>
      <c r="X2426" s="4"/>
      <c r="Y2426" s="4"/>
      <c r="Z2426" s="4"/>
      <c r="AA2426" s="4"/>
      <c r="AB2426" s="4"/>
      <c r="AC2426" s="4"/>
      <c r="AD2426" s="4"/>
      <c r="AE2426" s="4"/>
      <c r="AF2426" s="4"/>
      <c r="AG2426" s="4"/>
      <c r="AH2426" s="4"/>
      <c r="AI2426" s="4"/>
      <c r="AJ2426" s="4"/>
      <c r="AK2426" s="4"/>
      <c r="AL2426" s="4"/>
      <c r="AM2426" s="4"/>
      <c r="AN2426" s="4"/>
      <c r="AO2426" s="4"/>
      <c r="AP2426" s="4"/>
      <c r="AQ2426" s="4"/>
      <c r="AR2426" s="4"/>
      <c r="AS2426" s="4"/>
      <c r="AT2426" s="4"/>
      <c r="AU2426" s="4"/>
      <c r="AV2426" s="4"/>
    </row>
    <row r="2427" spans="4:48" x14ac:dyDescent="0.3">
      <c r="D2427" s="5"/>
      <c r="E2427" s="5"/>
      <c r="F2427" s="20"/>
      <c r="G2427" s="20"/>
      <c r="H2427" s="5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4"/>
      <c r="T2427" s="4"/>
      <c r="U2427" s="4"/>
      <c r="V2427" s="4"/>
      <c r="W2427" s="4"/>
      <c r="X2427" s="4"/>
      <c r="Y2427" s="4"/>
      <c r="Z2427" s="4"/>
      <c r="AA2427" s="4"/>
      <c r="AB2427" s="4"/>
      <c r="AC2427" s="4"/>
      <c r="AD2427" s="4"/>
      <c r="AE2427" s="4"/>
      <c r="AF2427" s="4"/>
      <c r="AG2427" s="4"/>
      <c r="AH2427" s="4"/>
      <c r="AI2427" s="4"/>
      <c r="AJ2427" s="4"/>
      <c r="AK2427" s="4"/>
      <c r="AL2427" s="4"/>
      <c r="AM2427" s="4"/>
      <c r="AN2427" s="4"/>
      <c r="AO2427" s="4"/>
      <c r="AP2427" s="4"/>
      <c r="AQ2427" s="4"/>
      <c r="AR2427" s="4"/>
      <c r="AS2427" s="4"/>
      <c r="AT2427" s="4"/>
      <c r="AU2427" s="4"/>
      <c r="AV2427" s="4"/>
    </row>
    <row r="2428" spans="4:48" x14ac:dyDescent="0.3">
      <c r="D2428" s="5"/>
      <c r="E2428" s="5"/>
      <c r="F2428" s="20"/>
      <c r="G2428" s="20"/>
      <c r="H2428" s="5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4"/>
      <c r="T2428" s="4"/>
      <c r="U2428" s="4"/>
      <c r="V2428" s="4"/>
      <c r="W2428" s="4"/>
      <c r="X2428" s="4"/>
      <c r="Y2428" s="4"/>
      <c r="Z2428" s="4"/>
      <c r="AA2428" s="4"/>
      <c r="AB2428" s="4"/>
      <c r="AC2428" s="4"/>
      <c r="AD2428" s="4"/>
      <c r="AE2428" s="4"/>
      <c r="AF2428" s="4"/>
      <c r="AG2428" s="4"/>
      <c r="AH2428" s="4"/>
      <c r="AI2428" s="4"/>
      <c r="AJ2428" s="4"/>
      <c r="AK2428" s="4"/>
      <c r="AL2428" s="4"/>
      <c r="AM2428" s="4"/>
      <c r="AN2428" s="4"/>
      <c r="AO2428" s="4"/>
      <c r="AP2428" s="4"/>
      <c r="AQ2428" s="4"/>
      <c r="AR2428" s="4"/>
      <c r="AS2428" s="4"/>
      <c r="AT2428" s="4"/>
      <c r="AU2428" s="4"/>
      <c r="AV2428" s="4"/>
    </row>
    <row r="2429" spans="4:48" x14ac:dyDescent="0.3">
      <c r="D2429" s="5"/>
      <c r="E2429" s="5"/>
      <c r="F2429" s="20"/>
      <c r="G2429" s="20"/>
      <c r="H2429" s="5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4"/>
      <c r="T2429" s="4"/>
      <c r="U2429" s="4"/>
      <c r="V2429" s="4"/>
      <c r="W2429" s="4"/>
      <c r="X2429" s="4"/>
      <c r="Y2429" s="4"/>
      <c r="Z2429" s="4"/>
      <c r="AA2429" s="4"/>
      <c r="AB2429" s="4"/>
      <c r="AC2429" s="4"/>
      <c r="AD2429" s="4"/>
      <c r="AE2429" s="4"/>
      <c r="AF2429" s="4"/>
      <c r="AG2429" s="4"/>
      <c r="AH2429" s="4"/>
      <c r="AI2429" s="4"/>
      <c r="AJ2429" s="4"/>
      <c r="AK2429" s="4"/>
      <c r="AL2429" s="4"/>
      <c r="AM2429" s="4"/>
      <c r="AN2429" s="4"/>
      <c r="AO2429" s="4"/>
      <c r="AP2429" s="4"/>
      <c r="AQ2429" s="4"/>
      <c r="AR2429" s="4"/>
      <c r="AS2429" s="4"/>
      <c r="AT2429" s="4"/>
      <c r="AU2429" s="4"/>
      <c r="AV2429" s="4"/>
    </row>
    <row r="2430" spans="4:48" x14ac:dyDescent="0.3">
      <c r="D2430" s="5"/>
      <c r="E2430" s="5"/>
      <c r="F2430" s="20"/>
      <c r="G2430" s="20"/>
      <c r="H2430" s="5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4"/>
      <c r="T2430" s="4"/>
      <c r="U2430" s="4"/>
      <c r="V2430" s="4"/>
      <c r="W2430" s="4"/>
      <c r="X2430" s="4"/>
      <c r="Y2430" s="4"/>
      <c r="Z2430" s="4"/>
      <c r="AA2430" s="4"/>
      <c r="AB2430" s="4"/>
      <c r="AC2430" s="4"/>
      <c r="AD2430" s="4"/>
      <c r="AE2430" s="4"/>
      <c r="AF2430" s="4"/>
      <c r="AG2430" s="4"/>
      <c r="AH2430" s="4"/>
      <c r="AI2430" s="4"/>
      <c r="AJ2430" s="4"/>
      <c r="AK2430" s="4"/>
      <c r="AL2430" s="4"/>
      <c r="AM2430" s="4"/>
      <c r="AN2430" s="4"/>
      <c r="AO2430" s="4"/>
      <c r="AP2430" s="4"/>
      <c r="AQ2430" s="4"/>
      <c r="AR2430" s="4"/>
      <c r="AS2430" s="4"/>
      <c r="AT2430" s="4"/>
      <c r="AU2430" s="4"/>
      <c r="AV2430" s="4"/>
    </row>
    <row r="2431" spans="4:48" x14ac:dyDescent="0.3">
      <c r="D2431" s="5"/>
      <c r="E2431" s="5"/>
      <c r="F2431" s="20"/>
      <c r="G2431" s="20"/>
      <c r="H2431" s="5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4"/>
      <c r="T2431" s="4"/>
      <c r="U2431" s="4"/>
      <c r="V2431" s="4"/>
      <c r="W2431" s="4"/>
      <c r="X2431" s="4"/>
      <c r="Y2431" s="4"/>
      <c r="Z2431" s="4"/>
      <c r="AA2431" s="4"/>
      <c r="AB2431" s="4"/>
      <c r="AC2431" s="4"/>
      <c r="AD2431" s="4"/>
      <c r="AE2431" s="4"/>
      <c r="AF2431" s="4"/>
      <c r="AG2431" s="4"/>
      <c r="AH2431" s="4"/>
      <c r="AI2431" s="4"/>
      <c r="AJ2431" s="4"/>
      <c r="AK2431" s="4"/>
      <c r="AL2431" s="4"/>
      <c r="AM2431" s="4"/>
      <c r="AN2431" s="4"/>
      <c r="AO2431" s="4"/>
      <c r="AP2431" s="4"/>
      <c r="AQ2431" s="4"/>
      <c r="AR2431" s="4"/>
      <c r="AS2431" s="4"/>
      <c r="AT2431" s="4"/>
      <c r="AU2431" s="4"/>
      <c r="AV2431" s="4"/>
    </row>
    <row r="2432" spans="4:48" x14ac:dyDescent="0.3">
      <c r="D2432" s="5"/>
      <c r="E2432" s="5"/>
      <c r="F2432" s="20"/>
      <c r="G2432" s="20"/>
      <c r="H2432" s="5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4"/>
      <c r="T2432" s="4"/>
      <c r="U2432" s="4"/>
      <c r="V2432" s="4"/>
      <c r="W2432" s="4"/>
      <c r="X2432" s="4"/>
      <c r="Y2432" s="4"/>
      <c r="Z2432" s="4"/>
      <c r="AA2432" s="4"/>
      <c r="AB2432" s="4"/>
      <c r="AC2432" s="4"/>
      <c r="AD2432" s="4"/>
      <c r="AE2432" s="4"/>
      <c r="AF2432" s="4"/>
      <c r="AG2432" s="4"/>
      <c r="AH2432" s="4"/>
      <c r="AI2432" s="4"/>
      <c r="AJ2432" s="4"/>
      <c r="AK2432" s="4"/>
      <c r="AL2432" s="4"/>
      <c r="AM2432" s="4"/>
      <c r="AN2432" s="4"/>
      <c r="AO2432" s="4"/>
      <c r="AP2432" s="4"/>
      <c r="AQ2432" s="4"/>
      <c r="AR2432" s="4"/>
      <c r="AS2432" s="4"/>
      <c r="AT2432" s="4"/>
      <c r="AU2432" s="4"/>
      <c r="AV2432" s="4"/>
    </row>
    <row r="2433" spans="4:48" x14ac:dyDescent="0.3">
      <c r="D2433" s="5"/>
      <c r="E2433" s="5"/>
      <c r="F2433" s="20"/>
      <c r="G2433" s="20"/>
      <c r="H2433" s="5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4"/>
      <c r="T2433" s="4"/>
      <c r="U2433" s="4"/>
      <c r="V2433" s="4"/>
      <c r="W2433" s="4"/>
      <c r="X2433" s="4"/>
      <c r="Y2433" s="4"/>
      <c r="Z2433" s="4"/>
      <c r="AA2433" s="4"/>
      <c r="AB2433" s="4"/>
      <c r="AC2433" s="4"/>
      <c r="AD2433" s="4"/>
      <c r="AE2433" s="4"/>
      <c r="AF2433" s="4"/>
      <c r="AG2433" s="4"/>
      <c r="AH2433" s="4"/>
      <c r="AI2433" s="4"/>
      <c r="AJ2433" s="4"/>
      <c r="AK2433" s="4"/>
      <c r="AL2433" s="4"/>
      <c r="AM2433" s="4"/>
      <c r="AN2433" s="4"/>
      <c r="AO2433" s="4"/>
      <c r="AP2433" s="4"/>
      <c r="AQ2433" s="4"/>
      <c r="AR2433" s="4"/>
      <c r="AS2433" s="4"/>
      <c r="AT2433" s="4"/>
      <c r="AU2433" s="4"/>
      <c r="AV2433" s="4"/>
    </row>
    <row r="2434" spans="4:48" x14ac:dyDescent="0.3">
      <c r="D2434" s="5"/>
      <c r="E2434" s="5"/>
      <c r="F2434" s="20"/>
      <c r="G2434" s="20"/>
      <c r="H2434" s="5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4"/>
      <c r="T2434" s="4"/>
      <c r="U2434" s="4"/>
      <c r="V2434" s="4"/>
      <c r="W2434" s="4"/>
      <c r="X2434" s="4"/>
      <c r="Y2434" s="4"/>
      <c r="Z2434" s="4"/>
      <c r="AA2434" s="4"/>
      <c r="AB2434" s="4"/>
      <c r="AC2434" s="4"/>
      <c r="AD2434" s="4"/>
      <c r="AE2434" s="4"/>
      <c r="AF2434" s="4"/>
      <c r="AG2434" s="4"/>
      <c r="AH2434" s="4"/>
      <c r="AI2434" s="4"/>
      <c r="AJ2434" s="4"/>
      <c r="AK2434" s="4"/>
      <c r="AL2434" s="4"/>
      <c r="AM2434" s="4"/>
      <c r="AN2434" s="4"/>
      <c r="AO2434" s="4"/>
      <c r="AP2434" s="4"/>
      <c r="AQ2434" s="4"/>
      <c r="AR2434" s="4"/>
      <c r="AS2434" s="4"/>
      <c r="AT2434" s="4"/>
      <c r="AU2434" s="4"/>
      <c r="AV2434" s="4"/>
    </row>
    <row r="2435" spans="4:48" x14ac:dyDescent="0.3">
      <c r="D2435" s="5"/>
      <c r="E2435" s="5"/>
      <c r="F2435" s="20"/>
      <c r="G2435" s="20"/>
      <c r="H2435" s="5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4"/>
      <c r="T2435" s="4"/>
      <c r="U2435" s="4"/>
      <c r="V2435" s="4"/>
      <c r="W2435" s="4"/>
      <c r="X2435" s="4"/>
      <c r="Y2435" s="4"/>
      <c r="Z2435" s="4"/>
      <c r="AA2435" s="4"/>
      <c r="AB2435" s="4"/>
      <c r="AC2435" s="4"/>
      <c r="AD2435" s="4"/>
      <c r="AE2435" s="4"/>
      <c r="AF2435" s="4"/>
      <c r="AG2435" s="4"/>
      <c r="AH2435" s="4"/>
      <c r="AI2435" s="4"/>
      <c r="AJ2435" s="4"/>
      <c r="AK2435" s="4"/>
      <c r="AL2435" s="4"/>
      <c r="AM2435" s="4"/>
      <c r="AN2435" s="4"/>
      <c r="AO2435" s="4"/>
      <c r="AP2435" s="4"/>
      <c r="AQ2435" s="4"/>
      <c r="AR2435" s="4"/>
      <c r="AS2435" s="4"/>
      <c r="AT2435" s="4"/>
      <c r="AU2435" s="4"/>
      <c r="AV2435" s="4"/>
    </row>
    <row r="2436" spans="4:48" x14ac:dyDescent="0.3">
      <c r="D2436" s="5"/>
      <c r="E2436" s="5"/>
      <c r="F2436" s="20"/>
      <c r="G2436" s="20"/>
      <c r="H2436" s="5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4"/>
      <c r="T2436" s="4"/>
      <c r="U2436" s="4"/>
      <c r="V2436" s="4"/>
      <c r="W2436" s="4"/>
      <c r="X2436" s="4"/>
      <c r="Y2436" s="4"/>
      <c r="Z2436" s="4"/>
      <c r="AA2436" s="4"/>
      <c r="AB2436" s="4"/>
      <c r="AC2436" s="4"/>
      <c r="AD2436" s="4"/>
      <c r="AE2436" s="4"/>
      <c r="AF2436" s="4"/>
      <c r="AG2436" s="4"/>
      <c r="AH2436" s="4"/>
      <c r="AI2436" s="4"/>
      <c r="AJ2436" s="4"/>
      <c r="AK2436" s="4"/>
      <c r="AL2436" s="4"/>
      <c r="AM2436" s="4"/>
      <c r="AN2436" s="4"/>
      <c r="AO2436" s="4"/>
      <c r="AP2436" s="4"/>
      <c r="AQ2436" s="4"/>
      <c r="AR2436" s="4"/>
      <c r="AS2436" s="4"/>
      <c r="AT2436" s="4"/>
      <c r="AU2436" s="4"/>
      <c r="AV2436" s="4"/>
    </row>
    <row r="2437" spans="4:48" x14ac:dyDescent="0.3">
      <c r="D2437" s="5"/>
      <c r="E2437" s="5"/>
      <c r="F2437" s="20"/>
      <c r="G2437" s="20"/>
      <c r="H2437" s="5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4"/>
      <c r="T2437" s="4"/>
      <c r="U2437" s="4"/>
      <c r="V2437" s="4"/>
      <c r="W2437" s="4"/>
      <c r="X2437" s="4"/>
      <c r="Y2437" s="4"/>
      <c r="Z2437" s="4"/>
      <c r="AA2437" s="4"/>
      <c r="AB2437" s="4"/>
      <c r="AC2437" s="4"/>
      <c r="AD2437" s="4"/>
      <c r="AE2437" s="4"/>
      <c r="AF2437" s="4"/>
      <c r="AG2437" s="4"/>
      <c r="AH2437" s="4"/>
      <c r="AI2437" s="4"/>
      <c r="AJ2437" s="4"/>
      <c r="AK2437" s="4"/>
      <c r="AL2437" s="4"/>
      <c r="AM2437" s="4"/>
      <c r="AN2437" s="4"/>
      <c r="AO2437" s="4"/>
      <c r="AP2437" s="4"/>
      <c r="AQ2437" s="4"/>
      <c r="AR2437" s="4"/>
      <c r="AS2437" s="4"/>
      <c r="AT2437" s="4"/>
      <c r="AU2437" s="4"/>
      <c r="AV2437" s="4"/>
    </row>
    <row r="2438" spans="4:48" x14ac:dyDescent="0.3">
      <c r="D2438" s="5"/>
      <c r="E2438" s="5"/>
      <c r="F2438" s="20"/>
      <c r="G2438" s="20"/>
      <c r="H2438" s="5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4"/>
      <c r="T2438" s="4"/>
      <c r="U2438" s="4"/>
      <c r="V2438" s="4"/>
      <c r="W2438" s="4"/>
      <c r="X2438" s="4"/>
      <c r="Y2438" s="4"/>
      <c r="Z2438" s="4"/>
      <c r="AA2438" s="4"/>
      <c r="AB2438" s="4"/>
      <c r="AC2438" s="4"/>
      <c r="AD2438" s="4"/>
      <c r="AE2438" s="4"/>
      <c r="AF2438" s="4"/>
      <c r="AG2438" s="4"/>
      <c r="AH2438" s="4"/>
      <c r="AI2438" s="4"/>
      <c r="AJ2438" s="4"/>
      <c r="AK2438" s="4"/>
      <c r="AL2438" s="4"/>
      <c r="AM2438" s="4"/>
      <c r="AN2438" s="4"/>
      <c r="AO2438" s="4"/>
      <c r="AP2438" s="4"/>
      <c r="AQ2438" s="4"/>
      <c r="AR2438" s="4"/>
      <c r="AS2438" s="4"/>
      <c r="AT2438" s="4"/>
      <c r="AU2438" s="4"/>
      <c r="AV2438" s="4"/>
    </row>
    <row r="2439" spans="4:48" x14ac:dyDescent="0.3">
      <c r="D2439" s="5"/>
      <c r="E2439" s="5"/>
      <c r="F2439" s="20"/>
      <c r="G2439" s="20"/>
      <c r="H2439" s="5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4"/>
      <c r="T2439" s="4"/>
      <c r="U2439" s="4"/>
      <c r="V2439" s="4"/>
      <c r="W2439" s="4"/>
      <c r="X2439" s="4"/>
      <c r="Y2439" s="4"/>
      <c r="Z2439" s="4"/>
      <c r="AA2439" s="4"/>
      <c r="AB2439" s="4"/>
      <c r="AC2439" s="4"/>
      <c r="AD2439" s="4"/>
      <c r="AE2439" s="4"/>
      <c r="AF2439" s="4"/>
      <c r="AG2439" s="4"/>
      <c r="AH2439" s="4"/>
      <c r="AI2439" s="4"/>
      <c r="AJ2439" s="4"/>
      <c r="AK2439" s="4"/>
      <c r="AL2439" s="4"/>
      <c r="AM2439" s="4"/>
      <c r="AN2439" s="4"/>
      <c r="AO2439" s="4"/>
      <c r="AP2439" s="4"/>
      <c r="AQ2439" s="4"/>
      <c r="AR2439" s="4"/>
      <c r="AS2439" s="4"/>
      <c r="AT2439" s="4"/>
      <c r="AU2439" s="4"/>
      <c r="AV2439" s="4"/>
    </row>
    <row r="2440" spans="4:48" x14ac:dyDescent="0.3">
      <c r="D2440" s="5"/>
      <c r="E2440" s="5"/>
      <c r="F2440" s="20"/>
      <c r="G2440" s="20"/>
      <c r="H2440" s="5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4"/>
      <c r="T2440" s="4"/>
      <c r="U2440" s="4"/>
      <c r="V2440" s="4"/>
      <c r="W2440" s="4"/>
      <c r="X2440" s="4"/>
      <c r="Y2440" s="4"/>
      <c r="Z2440" s="4"/>
      <c r="AA2440" s="4"/>
      <c r="AB2440" s="4"/>
      <c r="AC2440" s="4"/>
      <c r="AD2440" s="4"/>
      <c r="AE2440" s="4"/>
      <c r="AF2440" s="4"/>
      <c r="AG2440" s="4"/>
      <c r="AH2440" s="4"/>
      <c r="AI2440" s="4"/>
      <c r="AJ2440" s="4"/>
      <c r="AK2440" s="4"/>
      <c r="AL2440" s="4"/>
      <c r="AM2440" s="4"/>
      <c r="AN2440" s="4"/>
      <c r="AO2440" s="4"/>
      <c r="AP2440" s="4"/>
      <c r="AQ2440" s="4"/>
      <c r="AR2440" s="4"/>
      <c r="AS2440" s="4"/>
      <c r="AT2440" s="4"/>
      <c r="AU2440" s="4"/>
      <c r="AV2440" s="4"/>
    </row>
    <row r="2441" spans="4:48" x14ac:dyDescent="0.3">
      <c r="D2441" s="5"/>
      <c r="E2441" s="5"/>
      <c r="F2441" s="20"/>
      <c r="G2441" s="20"/>
      <c r="H2441" s="5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4"/>
      <c r="T2441" s="4"/>
      <c r="U2441" s="4"/>
      <c r="V2441" s="4"/>
      <c r="W2441" s="4"/>
      <c r="X2441" s="4"/>
      <c r="Y2441" s="4"/>
      <c r="Z2441" s="4"/>
      <c r="AA2441" s="4"/>
      <c r="AB2441" s="4"/>
      <c r="AC2441" s="4"/>
      <c r="AD2441" s="4"/>
      <c r="AE2441" s="4"/>
      <c r="AF2441" s="4"/>
      <c r="AG2441" s="4"/>
      <c r="AH2441" s="4"/>
      <c r="AI2441" s="4"/>
      <c r="AJ2441" s="4"/>
      <c r="AK2441" s="4"/>
      <c r="AL2441" s="4"/>
      <c r="AM2441" s="4"/>
      <c r="AN2441" s="4"/>
      <c r="AO2441" s="4"/>
      <c r="AP2441" s="4"/>
      <c r="AQ2441" s="4"/>
      <c r="AR2441" s="4"/>
      <c r="AS2441" s="4"/>
      <c r="AT2441" s="4"/>
      <c r="AU2441" s="4"/>
      <c r="AV2441" s="4"/>
    </row>
    <row r="2442" spans="4:48" x14ac:dyDescent="0.3">
      <c r="D2442" s="5"/>
      <c r="E2442" s="5"/>
      <c r="F2442" s="20"/>
      <c r="G2442" s="20"/>
      <c r="H2442" s="5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4"/>
      <c r="T2442" s="4"/>
      <c r="U2442" s="4"/>
      <c r="V2442" s="4"/>
      <c r="W2442" s="4"/>
      <c r="X2442" s="4"/>
      <c r="Y2442" s="4"/>
      <c r="Z2442" s="4"/>
      <c r="AA2442" s="4"/>
      <c r="AB2442" s="4"/>
      <c r="AC2442" s="4"/>
      <c r="AD2442" s="4"/>
      <c r="AE2442" s="4"/>
      <c r="AF2442" s="4"/>
      <c r="AG2442" s="4"/>
      <c r="AH2442" s="4"/>
      <c r="AI2442" s="4"/>
      <c r="AJ2442" s="4"/>
      <c r="AK2442" s="4"/>
      <c r="AL2442" s="4"/>
      <c r="AM2442" s="4"/>
      <c r="AN2442" s="4"/>
      <c r="AO2442" s="4"/>
      <c r="AP2442" s="4"/>
      <c r="AQ2442" s="4"/>
      <c r="AR2442" s="4"/>
      <c r="AS2442" s="4"/>
      <c r="AT2442" s="4"/>
      <c r="AU2442" s="4"/>
      <c r="AV2442" s="4"/>
    </row>
    <row r="2443" spans="4:48" x14ac:dyDescent="0.3">
      <c r="D2443" s="5"/>
      <c r="E2443" s="5"/>
      <c r="F2443" s="20"/>
      <c r="G2443" s="20"/>
      <c r="H2443" s="5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4"/>
      <c r="T2443" s="4"/>
      <c r="U2443" s="4"/>
      <c r="V2443" s="4"/>
      <c r="W2443" s="4"/>
      <c r="X2443" s="4"/>
      <c r="Y2443" s="4"/>
      <c r="Z2443" s="4"/>
      <c r="AA2443" s="4"/>
      <c r="AB2443" s="4"/>
      <c r="AC2443" s="4"/>
      <c r="AD2443" s="4"/>
      <c r="AE2443" s="4"/>
      <c r="AF2443" s="4"/>
      <c r="AG2443" s="4"/>
      <c r="AH2443" s="4"/>
      <c r="AI2443" s="4"/>
      <c r="AJ2443" s="4"/>
      <c r="AK2443" s="4"/>
      <c r="AL2443" s="4"/>
      <c r="AM2443" s="4"/>
      <c r="AN2443" s="4"/>
      <c r="AO2443" s="4"/>
      <c r="AP2443" s="4"/>
      <c r="AQ2443" s="4"/>
      <c r="AR2443" s="4"/>
      <c r="AS2443" s="4"/>
      <c r="AT2443" s="4"/>
      <c r="AU2443" s="4"/>
      <c r="AV2443" s="4"/>
    </row>
    <row r="2444" spans="4:48" x14ac:dyDescent="0.3">
      <c r="D2444" s="5"/>
      <c r="E2444" s="5"/>
      <c r="F2444" s="20"/>
      <c r="G2444" s="20"/>
      <c r="H2444" s="5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4"/>
      <c r="T2444" s="4"/>
      <c r="U2444" s="4"/>
      <c r="V2444" s="4"/>
      <c r="W2444" s="4"/>
      <c r="X2444" s="4"/>
      <c r="Y2444" s="4"/>
      <c r="Z2444" s="4"/>
      <c r="AA2444" s="4"/>
      <c r="AB2444" s="4"/>
      <c r="AC2444" s="4"/>
      <c r="AD2444" s="4"/>
      <c r="AE2444" s="4"/>
      <c r="AF2444" s="4"/>
      <c r="AG2444" s="4"/>
      <c r="AH2444" s="4"/>
      <c r="AI2444" s="4"/>
      <c r="AJ2444" s="4"/>
      <c r="AK2444" s="4"/>
      <c r="AL2444" s="4"/>
      <c r="AM2444" s="4"/>
      <c r="AN2444" s="4"/>
      <c r="AO2444" s="4"/>
      <c r="AP2444" s="4"/>
      <c r="AQ2444" s="4"/>
      <c r="AR2444" s="4"/>
      <c r="AS2444" s="4"/>
      <c r="AT2444" s="4"/>
      <c r="AU2444" s="4"/>
      <c r="AV2444" s="4"/>
    </row>
    <row r="2445" spans="4:48" x14ac:dyDescent="0.3">
      <c r="D2445" s="5"/>
      <c r="E2445" s="5"/>
      <c r="F2445" s="20"/>
      <c r="G2445" s="20"/>
      <c r="H2445" s="5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4"/>
      <c r="T2445" s="4"/>
      <c r="U2445" s="4"/>
      <c r="V2445" s="4"/>
      <c r="W2445" s="4"/>
      <c r="X2445" s="4"/>
      <c r="Y2445" s="4"/>
      <c r="Z2445" s="4"/>
      <c r="AA2445" s="4"/>
      <c r="AB2445" s="4"/>
      <c r="AC2445" s="4"/>
      <c r="AD2445" s="4"/>
      <c r="AE2445" s="4"/>
      <c r="AF2445" s="4"/>
      <c r="AG2445" s="4"/>
      <c r="AH2445" s="4"/>
      <c r="AI2445" s="4"/>
      <c r="AJ2445" s="4"/>
      <c r="AK2445" s="4"/>
      <c r="AL2445" s="4"/>
      <c r="AM2445" s="4"/>
      <c r="AN2445" s="4"/>
      <c r="AO2445" s="4"/>
      <c r="AP2445" s="4"/>
      <c r="AQ2445" s="4"/>
      <c r="AR2445" s="4"/>
      <c r="AS2445" s="4"/>
      <c r="AT2445" s="4"/>
      <c r="AU2445" s="4"/>
      <c r="AV2445" s="4"/>
    </row>
    <row r="2446" spans="4:48" x14ac:dyDescent="0.3">
      <c r="D2446" s="5"/>
      <c r="E2446" s="5"/>
      <c r="F2446" s="20"/>
      <c r="G2446" s="20"/>
      <c r="H2446" s="5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4"/>
      <c r="T2446" s="4"/>
      <c r="U2446" s="4"/>
      <c r="V2446" s="4"/>
      <c r="W2446" s="4"/>
      <c r="X2446" s="4"/>
      <c r="Y2446" s="4"/>
      <c r="Z2446" s="4"/>
      <c r="AA2446" s="4"/>
      <c r="AB2446" s="4"/>
      <c r="AC2446" s="4"/>
      <c r="AD2446" s="4"/>
      <c r="AE2446" s="4"/>
      <c r="AF2446" s="4"/>
      <c r="AG2446" s="4"/>
      <c r="AH2446" s="4"/>
      <c r="AI2446" s="4"/>
      <c r="AJ2446" s="4"/>
      <c r="AK2446" s="4"/>
      <c r="AL2446" s="4"/>
      <c r="AM2446" s="4"/>
      <c r="AN2446" s="4"/>
      <c r="AO2446" s="4"/>
      <c r="AP2446" s="4"/>
      <c r="AQ2446" s="4"/>
      <c r="AR2446" s="4"/>
      <c r="AS2446" s="4"/>
      <c r="AT2446" s="4"/>
      <c r="AU2446" s="4"/>
      <c r="AV2446" s="4"/>
    </row>
    <row r="2447" spans="4:48" x14ac:dyDescent="0.3">
      <c r="D2447" s="5"/>
      <c r="E2447" s="5"/>
      <c r="F2447" s="20"/>
      <c r="G2447" s="20"/>
      <c r="H2447" s="5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4"/>
      <c r="T2447" s="4"/>
      <c r="U2447" s="4"/>
      <c r="V2447" s="4"/>
      <c r="W2447" s="4"/>
      <c r="X2447" s="4"/>
      <c r="Y2447" s="4"/>
      <c r="Z2447" s="4"/>
      <c r="AA2447" s="4"/>
      <c r="AB2447" s="4"/>
      <c r="AC2447" s="4"/>
      <c r="AD2447" s="4"/>
      <c r="AE2447" s="4"/>
      <c r="AF2447" s="4"/>
      <c r="AG2447" s="4"/>
      <c r="AH2447" s="4"/>
      <c r="AI2447" s="4"/>
      <c r="AJ2447" s="4"/>
      <c r="AK2447" s="4"/>
      <c r="AL2447" s="4"/>
      <c r="AM2447" s="4"/>
      <c r="AN2447" s="4"/>
      <c r="AO2447" s="4"/>
      <c r="AP2447" s="4"/>
      <c r="AQ2447" s="4"/>
      <c r="AR2447" s="4"/>
      <c r="AS2447" s="4"/>
      <c r="AT2447" s="4"/>
      <c r="AU2447" s="4"/>
      <c r="AV2447" s="4"/>
    </row>
    <row r="2448" spans="4:48" x14ac:dyDescent="0.3">
      <c r="D2448" s="5"/>
      <c r="E2448" s="5"/>
      <c r="F2448" s="20"/>
      <c r="G2448" s="20"/>
      <c r="H2448" s="5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4"/>
      <c r="T2448" s="4"/>
      <c r="U2448" s="4"/>
      <c r="V2448" s="4"/>
      <c r="W2448" s="4"/>
      <c r="X2448" s="4"/>
      <c r="Y2448" s="4"/>
      <c r="Z2448" s="4"/>
      <c r="AA2448" s="4"/>
      <c r="AB2448" s="4"/>
      <c r="AC2448" s="4"/>
      <c r="AD2448" s="4"/>
      <c r="AE2448" s="4"/>
      <c r="AF2448" s="4"/>
      <c r="AG2448" s="4"/>
      <c r="AH2448" s="4"/>
      <c r="AI2448" s="4"/>
      <c r="AJ2448" s="4"/>
      <c r="AK2448" s="4"/>
      <c r="AL2448" s="4"/>
      <c r="AM2448" s="4"/>
      <c r="AN2448" s="4"/>
      <c r="AO2448" s="4"/>
      <c r="AP2448" s="4"/>
      <c r="AQ2448" s="4"/>
      <c r="AR2448" s="4"/>
      <c r="AS2448" s="4"/>
      <c r="AT2448" s="4"/>
      <c r="AU2448" s="4"/>
      <c r="AV2448" s="4"/>
    </row>
    <row r="2449" spans="4:48" x14ac:dyDescent="0.3">
      <c r="D2449" s="5"/>
      <c r="E2449" s="5"/>
      <c r="F2449" s="20"/>
      <c r="G2449" s="20"/>
      <c r="H2449" s="5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4"/>
      <c r="T2449" s="4"/>
      <c r="U2449" s="4"/>
      <c r="V2449" s="4"/>
      <c r="W2449" s="4"/>
      <c r="X2449" s="4"/>
      <c r="Y2449" s="4"/>
      <c r="Z2449" s="4"/>
      <c r="AA2449" s="4"/>
      <c r="AB2449" s="4"/>
      <c r="AC2449" s="4"/>
      <c r="AD2449" s="4"/>
      <c r="AE2449" s="4"/>
      <c r="AF2449" s="4"/>
      <c r="AG2449" s="4"/>
      <c r="AH2449" s="4"/>
      <c r="AI2449" s="4"/>
      <c r="AJ2449" s="4"/>
      <c r="AK2449" s="4"/>
      <c r="AL2449" s="4"/>
      <c r="AM2449" s="4"/>
      <c r="AN2449" s="4"/>
      <c r="AO2449" s="4"/>
      <c r="AP2449" s="4"/>
      <c r="AQ2449" s="4"/>
      <c r="AR2449" s="4"/>
      <c r="AS2449" s="4"/>
      <c r="AT2449" s="4"/>
      <c r="AU2449" s="4"/>
      <c r="AV2449" s="4"/>
    </row>
    <row r="2450" spans="4:48" x14ac:dyDescent="0.3">
      <c r="D2450" s="5"/>
      <c r="E2450" s="5"/>
      <c r="F2450" s="20"/>
      <c r="G2450" s="20"/>
      <c r="H2450" s="5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4"/>
      <c r="T2450" s="4"/>
      <c r="U2450" s="4"/>
      <c r="V2450" s="4"/>
      <c r="W2450" s="4"/>
      <c r="X2450" s="4"/>
      <c r="Y2450" s="4"/>
      <c r="Z2450" s="4"/>
      <c r="AA2450" s="4"/>
      <c r="AB2450" s="4"/>
      <c r="AC2450" s="4"/>
      <c r="AD2450" s="4"/>
      <c r="AE2450" s="4"/>
      <c r="AF2450" s="4"/>
      <c r="AG2450" s="4"/>
      <c r="AH2450" s="4"/>
      <c r="AI2450" s="4"/>
      <c r="AJ2450" s="4"/>
      <c r="AK2450" s="4"/>
      <c r="AL2450" s="4"/>
      <c r="AM2450" s="4"/>
      <c r="AN2450" s="4"/>
      <c r="AO2450" s="4"/>
      <c r="AP2450" s="4"/>
      <c r="AQ2450" s="4"/>
      <c r="AR2450" s="4"/>
      <c r="AS2450" s="4"/>
      <c r="AT2450" s="4"/>
      <c r="AU2450" s="4"/>
      <c r="AV2450" s="4"/>
    </row>
    <row r="2451" spans="4:48" x14ac:dyDescent="0.3">
      <c r="D2451" s="5"/>
      <c r="E2451" s="5"/>
      <c r="F2451" s="20"/>
      <c r="G2451" s="20"/>
      <c r="H2451" s="5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4"/>
      <c r="T2451" s="4"/>
      <c r="U2451" s="4"/>
      <c r="V2451" s="4"/>
      <c r="W2451" s="4"/>
      <c r="X2451" s="4"/>
      <c r="Y2451" s="4"/>
      <c r="Z2451" s="4"/>
      <c r="AA2451" s="4"/>
      <c r="AB2451" s="4"/>
      <c r="AC2451" s="4"/>
      <c r="AD2451" s="4"/>
      <c r="AE2451" s="4"/>
      <c r="AF2451" s="4"/>
      <c r="AG2451" s="4"/>
      <c r="AH2451" s="4"/>
      <c r="AI2451" s="4"/>
      <c r="AJ2451" s="4"/>
      <c r="AK2451" s="4"/>
      <c r="AL2451" s="4"/>
      <c r="AM2451" s="4"/>
      <c r="AN2451" s="4"/>
      <c r="AO2451" s="4"/>
      <c r="AP2451" s="4"/>
      <c r="AQ2451" s="4"/>
      <c r="AR2451" s="4"/>
      <c r="AS2451" s="4"/>
      <c r="AT2451" s="4"/>
      <c r="AU2451" s="4"/>
      <c r="AV2451" s="4"/>
    </row>
    <row r="2452" spans="4:48" x14ac:dyDescent="0.3">
      <c r="D2452" s="5"/>
      <c r="E2452" s="5"/>
      <c r="F2452" s="20"/>
      <c r="G2452" s="20"/>
      <c r="H2452" s="5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4"/>
      <c r="T2452" s="4"/>
      <c r="U2452" s="4"/>
      <c r="V2452" s="4"/>
      <c r="W2452" s="4"/>
      <c r="X2452" s="4"/>
      <c r="Y2452" s="4"/>
      <c r="Z2452" s="4"/>
      <c r="AA2452" s="4"/>
      <c r="AB2452" s="4"/>
      <c r="AC2452" s="4"/>
      <c r="AD2452" s="4"/>
      <c r="AE2452" s="4"/>
      <c r="AF2452" s="4"/>
      <c r="AG2452" s="4"/>
      <c r="AH2452" s="4"/>
      <c r="AI2452" s="4"/>
      <c r="AJ2452" s="4"/>
      <c r="AK2452" s="4"/>
      <c r="AL2452" s="4"/>
      <c r="AM2452" s="4"/>
      <c r="AN2452" s="4"/>
      <c r="AO2452" s="4"/>
      <c r="AP2452" s="4"/>
      <c r="AQ2452" s="4"/>
      <c r="AR2452" s="4"/>
      <c r="AS2452" s="4"/>
      <c r="AT2452" s="4"/>
      <c r="AU2452" s="4"/>
      <c r="AV2452" s="4"/>
    </row>
    <row r="2453" spans="4:48" x14ac:dyDescent="0.3">
      <c r="D2453" s="5"/>
      <c r="E2453" s="5"/>
      <c r="F2453" s="20"/>
      <c r="G2453" s="20"/>
      <c r="H2453" s="5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4"/>
      <c r="T2453" s="4"/>
      <c r="U2453" s="4"/>
      <c r="V2453" s="4"/>
      <c r="W2453" s="4"/>
      <c r="X2453" s="4"/>
      <c r="Y2453" s="4"/>
      <c r="Z2453" s="4"/>
      <c r="AA2453" s="4"/>
      <c r="AB2453" s="4"/>
      <c r="AC2453" s="4"/>
      <c r="AD2453" s="4"/>
      <c r="AE2453" s="4"/>
      <c r="AF2453" s="4"/>
      <c r="AG2453" s="4"/>
      <c r="AH2453" s="4"/>
      <c r="AI2453" s="4"/>
      <c r="AJ2453" s="4"/>
      <c r="AK2453" s="4"/>
      <c r="AL2453" s="4"/>
      <c r="AM2453" s="4"/>
      <c r="AN2453" s="4"/>
      <c r="AO2453" s="4"/>
      <c r="AP2453" s="4"/>
      <c r="AQ2453" s="4"/>
      <c r="AR2453" s="4"/>
      <c r="AS2453" s="4"/>
      <c r="AT2453" s="4"/>
      <c r="AU2453" s="4"/>
      <c r="AV2453" s="4"/>
    </row>
    <row r="2454" spans="4:48" x14ac:dyDescent="0.3">
      <c r="D2454" s="5"/>
      <c r="E2454" s="5"/>
      <c r="F2454" s="20"/>
      <c r="G2454" s="20"/>
      <c r="H2454" s="5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4"/>
      <c r="T2454" s="4"/>
      <c r="U2454" s="4"/>
      <c r="V2454" s="4"/>
      <c r="W2454" s="4"/>
      <c r="X2454" s="4"/>
      <c r="Y2454" s="4"/>
      <c r="Z2454" s="4"/>
      <c r="AA2454" s="4"/>
      <c r="AB2454" s="4"/>
      <c r="AC2454" s="4"/>
      <c r="AD2454" s="4"/>
      <c r="AE2454" s="4"/>
      <c r="AF2454" s="4"/>
      <c r="AG2454" s="4"/>
      <c r="AH2454" s="4"/>
      <c r="AI2454" s="4"/>
      <c r="AJ2454" s="4"/>
      <c r="AK2454" s="4"/>
      <c r="AL2454" s="4"/>
      <c r="AM2454" s="4"/>
      <c r="AN2454" s="4"/>
      <c r="AO2454" s="4"/>
      <c r="AP2454" s="4"/>
      <c r="AQ2454" s="4"/>
      <c r="AR2454" s="4"/>
      <c r="AS2454" s="4"/>
      <c r="AT2454" s="4"/>
      <c r="AU2454" s="4"/>
      <c r="AV2454" s="4"/>
    </row>
    <row r="2455" spans="4:48" x14ac:dyDescent="0.3">
      <c r="D2455" s="5"/>
      <c r="E2455" s="5"/>
      <c r="F2455" s="20"/>
      <c r="G2455" s="20"/>
      <c r="H2455" s="5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4"/>
      <c r="T2455" s="4"/>
      <c r="U2455" s="4"/>
      <c r="V2455" s="4"/>
      <c r="W2455" s="4"/>
      <c r="X2455" s="4"/>
      <c r="Y2455" s="4"/>
      <c r="Z2455" s="4"/>
      <c r="AA2455" s="4"/>
      <c r="AB2455" s="4"/>
      <c r="AC2455" s="4"/>
      <c r="AD2455" s="4"/>
      <c r="AE2455" s="4"/>
      <c r="AF2455" s="4"/>
      <c r="AG2455" s="4"/>
      <c r="AH2455" s="4"/>
      <c r="AI2455" s="4"/>
      <c r="AJ2455" s="4"/>
      <c r="AK2455" s="4"/>
      <c r="AL2455" s="4"/>
      <c r="AM2455" s="4"/>
      <c r="AN2455" s="4"/>
      <c r="AO2455" s="4"/>
      <c r="AP2455" s="4"/>
      <c r="AQ2455" s="4"/>
      <c r="AR2455" s="4"/>
      <c r="AS2455" s="4"/>
      <c r="AT2455" s="4"/>
      <c r="AU2455" s="4"/>
      <c r="AV2455" s="4"/>
    </row>
    <row r="2456" spans="4:48" x14ac:dyDescent="0.3">
      <c r="D2456" s="5"/>
      <c r="E2456" s="5"/>
      <c r="F2456" s="20"/>
      <c r="G2456" s="20"/>
      <c r="H2456" s="5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4"/>
      <c r="T2456" s="4"/>
      <c r="U2456" s="4"/>
      <c r="V2456" s="4"/>
      <c r="W2456" s="4"/>
      <c r="X2456" s="4"/>
      <c r="Y2456" s="4"/>
      <c r="Z2456" s="4"/>
      <c r="AA2456" s="4"/>
      <c r="AB2456" s="4"/>
      <c r="AC2456" s="4"/>
      <c r="AD2456" s="4"/>
      <c r="AE2456" s="4"/>
      <c r="AF2456" s="4"/>
      <c r="AG2456" s="4"/>
      <c r="AH2456" s="4"/>
      <c r="AI2456" s="4"/>
      <c r="AJ2456" s="4"/>
      <c r="AK2456" s="4"/>
      <c r="AL2456" s="4"/>
      <c r="AM2456" s="4"/>
      <c r="AN2456" s="4"/>
      <c r="AO2456" s="4"/>
      <c r="AP2456" s="4"/>
      <c r="AQ2456" s="4"/>
      <c r="AR2456" s="4"/>
      <c r="AS2456" s="4"/>
      <c r="AT2456" s="4"/>
      <c r="AU2456" s="4"/>
      <c r="AV2456" s="4"/>
    </row>
    <row r="2457" spans="4:48" x14ac:dyDescent="0.3">
      <c r="D2457" s="5"/>
      <c r="E2457" s="5"/>
      <c r="F2457" s="20"/>
      <c r="G2457" s="20"/>
      <c r="H2457" s="5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4"/>
      <c r="T2457" s="4"/>
      <c r="U2457" s="4"/>
      <c r="V2457" s="4"/>
      <c r="W2457" s="4"/>
      <c r="X2457" s="4"/>
      <c r="Y2457" s="4"/>
      <c r="Z2457" s="4"/>
      <c r="AA2457" s="4"/>
      <c r="AB2457" s="4"/>
      <c r="AC2457" s="4"/>
      <c r="AD2457" s="4"/>
      <c r="AE2457" s="4"/>
      <c r="AF2457" s="4"/>
      <c r="AG2457" s="4"/>
      <c r="AH2457" s="4"/>
      <c r="AI2457" s="4"/>
      <c r="AJ2457" s="4"/>
      <c r="AK2457" s="4"/>
      <c r="AL2457" s="4"/>
      <c r="AM2457" s="4"/>
      <c r="AN2457" s="4"/>
      <c r="AO2457" s="4"/>
      <c r="AP2457" s="4"/>
      <c r="AQ2457" s="4"/>
      <c r="AR2457" s="4"/>
      <c r="AS2457" s="4"/>
      <c r="AT2457" s="4"/>
      <c r="AU2457" s="4"/>
      <c r="AV2457" s="4"/>
    </row>
    <row r="2458" spans="4:48" x14ac:dyDescent="0.3">
      <c r="D2458" s="5"/>
      <c r="E2458" s="5"/>
      <c r="F2458" s="20"/>
      <c r="G2458" s="20"/>
      <c r="H2458" s="5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4"/>
      <c r="T2458" s="4"/>
      <c r="U2458" s="4"/>
      <c r="V2458" s="4"/>
      <c r="W2458" s="4"/>
      <c r="X2458" s="4"/>
      <c r="Y2458" s="4"/>
      <c r="Z2458" s="4"/>
      <c r="AA2458" s="4"/>
      <c r="AB2458" s="4"/>
      <c r="AC2458" s="4"/>
      <c r="AD2458" s="4"/>
      <c r="AE2458" s="4"/>
      <c r="AF2458" s="4"/>
      <c r="AG2458" s="4"/>
      <c r="AH2458" s="4"/>
      <c r="AI2458" s="4"/>
      <c r="AJ2458" s="4"/>
      <c r="AK2458" s="4"/>
      <c r="AL2458" s="4"/>
      <c r="AM2458" s="4"/>
      <c r="AN2458" s="4"/>
      <c r="AO2458" s="4"/>
      <c r="AP2458" s="4"/>
      <c r="AQ2458" s="4"/>
      <c r="AR2458" s="4"/>
      <c r="AS2458" s="4"/>
      <c r="AT2458" s="4"/>
      <c r="AU2458" s="4"/>
      <c r="AV2458" s="4"/>
    </row>
    <row r="2459" spans="4:48" x14ac:dyDescent="0.3">
      <c r="D2459" s="5"/>
      <c r="E2459" s="5"/>
      <c r="F2459" s="20"/>
      <c r="G2459" s="20"/>
      <c r="H2459" s="5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4"/>
      <c r="T2459" s="4"/>
      <c r="U2459" s="4"/>
      <c r="V2459" s="4"/>
      <c r="W2459" s="4"/>
      <c r="X2459" s="4"/>
      <c r="Y2459" s="4"/>
      <c r="Z2459" s="4"/>
      <c r="AA2459" s="4"/>
      <c r="AB2459" s="4"/>
      <c r="AC2459" s="4"/>
      <c r="AD2459" s="4"/>
      <c r="AE2459" s="4"/>
      <c r="AF2459" s="4"/>
      <c r="AG2459" s="4"/>
      <c r="AH2459" s="4"/>
      <c r="AI2459" s="4"/>
      <c r="AJ2459" s="4"/>
      <c r="AK2459" s="4"/>
      <c r="AL2459" s="4"/>
      <c r="AM2459" s="4"/>
      <c r="AN2459" s="4"/>
      <c r="AO2459" s="4"/>
      <c r="AP2459" s="4"/>
      <c r="AQ2459" s="4"/>
      <c r="AR2459" s="4"/>
      <c r="AS2459" s="4"/>
      <c r="AT2459" s="4"/>
      <c r="AU2459" s="4"/>
      <c r="AV2459" s="4"/>
    </row>
    <row r="2460" spans="4:48" x14ac:dyDescent="0.3">
      <c r="D2460" s="5"/>
      <c r="E2460" s="5"/>
      <c r="F2460" s="20"/>
      <c r="G2460" s="20"/>
      <c r="H2460" s="5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4"/>
      <c r="T2460" s="4"/>
      <c r="U2460" s="4"/>
      <c r="V2460" s="4"/>
      <c r="W2460" s="4"/>
      <c r="X2460" s="4"/>
      <c r="Y2460" s="4"/>
      <c r="Z2460" s="4"/>
      <c r="AA2460" s="4"/>
      <c r="AB2460" s="4"/>
      <c r="AC2460" s="4"/>
      <c r="AD2460" s="4"/>
      <c r="AE2460" s="4"/>
      <c r="AF2460" s="4"/>
      <c r="AG2460" s="4"/>
      <c r="AH2460" s="4"/>
      <c r="AI2460" s="4"/>
      <c r="AJ2460" s="4"/>
      <c r="AK2460" s="4"/>
      <c r="AL2460" s="4"/>
      <c r="AM2460" s="4"/>
      <c r="AN2460" s="4"/>
      <c r="AO2460" s="4"/>
      <c r="AP2460" s="4"/>
      <c r="AQ2460" s="4"/>
      <c r="AR2460" s="4"/>
      <c r="AS2460" s="4"/>
      <c r="AT2460" s="4"/>
      <c r="AU2460" s="4"/>
      <c r="AV2460" s="4"/>
    </row>
    <row r="2461" spans="4:48" x14ac:dyDescent="0.3">
      <c r="D2461" s="5"/>
      <c r="E2461" s="5"/>
      <c r="F2461" s="20"/>
      <c r="G2461" s="20"/>
      <c r="H2461" s="5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4"/>
      <c r="T2461" s="4"/>
      <c r="U2461" s="4"/>
      <c r="V2461" s="4"/>
      <c r="W2461" s="4"/>
      <c r="X2461" s="4"/>
      <c r="Y2461" s="4"/>
      <c r="Z2461" s="4"/>
      <c r="AA2461" s="4"/>
      <c r="AB2461" s="4"/>
      <c r="AC2461" s="4"/>
      <c r="AD2461" s="4"/>
      <c r="AE2461" s="4"/>
      <c r="AF2461" s="4"/>
      <c r="AG2461" s="4"/>
      <c r="AH2461" s="4"/>
      <c r="AI2461" s="4"/>
      <c r="AJ2461" s="4"/>
      <c r="AK2461" s="4"/>
      <c r="AL2461" s="4"/>
      <c r="AM2461" s="4"/>
      <c r="AN2461" s="4"/>
      <c r="AO2461" s="4"/>
      <c r="AP2461" s="4"/>
      <c r="AQ2461" s="4"/>
      <c r="AR2461" s="4"/>
      <c r="AS2461" s="4"/>
      <c r="AT2461" s="4"/>
      <c r="AU2461" s="4"/>
      <c r="AV2461" s="4"/>
    </row>
    <row r="2462" spans="4:48" x14ac:dyDescent="0.3">
      <c r="D2462" s="5"/>
      <c r="E2462" s="5"/>
      <c r="F2462" s="20"/>
      <c r="G2462" s="20"/>
      <c r="H2462" s="5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4"/>
      <c r="T2462" s="4"/>
      <c r="U2462" s="4"/>
      <c r="V2462" s="4"/>
      <c r="W2462" s="4"/>
      <c r="X2462" s="4"/>
      <c r="Y2462" s="4"/>
      <c r="Z2462" s="4"/>
      <c r="AA2462" s="4"/>
      <c r="AB2462" s="4"/>
      <c r="AC2462" s="4"/>
      <c r="AD2462" s="4"/>
      <c r="AE2462" s="4"/>
      <c r="AF2462" s="4"/>
      <c r="AG2462" s="4"/>
      <c r="AH2462" s="4"/>
      <c r="AI2462" s="4"/>
      <c r="AJ2462" s="4"/>
      <c r="AK2462" s="4"/>
      <c r="AL2462" s="4"/>
      <c r="AM2462" s="4"/>
      <c r="AN2462" s="4"/>
      <c r="AO2462" s="4"/>
      <c r="AP2462" s="4"/>
      <c r="AQ2462" s="4"/>
      <c r="AR2462" s="4"/>
      <c r="AS2462" s="4"/>
      <c r="AT2462" s="4"/>
      <c r="AU2462" s="4"/>
      <c r="AV2462" s="4"/>
    </row>
    <row r="2463" spans="4:48" x14ac:dyDescent="0.3">
      <c r="D2463" s="5"/>
      <c r="E2463" s="5"/>
      <c r="F2463" s="20"/>
      <c r="G2463" s="20"/>
      <c r="H2463" s="5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4"/>
      <c r="T2463" s="4"/>
      <c r="U2463" s="4"/>
      <c r="V2463" s="4"/>
      <c r="W2463" s="4"/>
      <c r="X2463" s="4"/>
      <c r="Y2463" s="4"/>
      <c r="Z2463" s="4"/>
      <c r="AA2463" s="4"/>
      <c r="AB2463" s="4"/>
      <c r="AC2463" s="4"/>
      <c r="AD2463" s="4"/>
      <c r="AE2463" s="4"/>
      <c r="AF2463" s="4"/>
      <c r="AG2463" s="4"/>
      <c r="AH2463" s="4"/>
      <c r="AI2463" s="4"/>
      <c r="AJ2463" s="4"/>
      <c r="AK2463" s="4"/>
      <c r="AL2463" s="4"/>
      <c r="AM2463" s="4"/>
      <c r="AN2463" s="4"/>
      <c r="AO2463" s="4"/>
      <c r="AP2463" s="4"/>
      <c r="AQ2463" s="4"/>
      <c r="AR2463" s="4"/>
      <c r="AS2463" s="4"/>
      <c r="AT2463" s="4"/>
      <c r="AU2463" s="4"/>
      <c r="AV2463" s="4"/>
    </row>
    <row r="2464" spans="4:48" x14ac:dyDescent="0.3">
      <c r="D2464" s="5"/>
      <c r="E2464" s="5"/>
      <c r="F2464" s="20"/>
      <c r="G2464" s="20"/>
      <c r="H2464" s="5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4"/>
      <c r="T2464" s="4"/>
      <c r="U2464" s="4"/>
      <c r="V2464" s="4"/>
      <c r="W2464" s="4"/>
      <c r="X2464" s="4"/>
      <c r="Y2464" s="4"/>
      <c r="Z2464" s="4"/>
      <c r="AA2464" s="4"/>
      <c r="AB2464" s="4"/>
      <c r="AC2464" s="4"/>
      <c r="AD2464" s="4"/>
      <c r="AE2464" s="4"/>
      <c r="AF2464" s="4"/>
      <c r="AG2464" s="4"/>
      <c r="AH2464" s="4"/>
      <c r="AI2464" s="4"/>
      <c r="AJ2464" s="4"/>
      <c r="AK2464" s="4"/>
      <c r="AL2464" s="4"/>
      <c r="AM2464" s="4"/>
      <c r="AN2464" s="4"/>
      <c r="AO2464" s="4"/>
      <c r="AP2464" s="4"/>
      <c r="AQ2464" s="4"/>
      <c r="AR2464" s="4"/>
      <c r="AS2464" s="4"/>
      <c r="AT2464" s="4"/>
      <c r="AU2464" s="4"/>
      <c r="AV2464" s="4"/>
    </row>
    <row r="2465" spans="4:48" x14ac:dyDescent="0.3">
      <c r="D2465" s="5"/>
      <c r="E2465" s="5"/>
      <c r="F2465" s="20"/>
      <c r="G2465" s="20"/>
      <c r="H2465" s="5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4"/>
      <c r="T2465" s="4"/>
      <c r="U2465" s="4"/>
      <c r="V2465" s="4"/>
      <c r="W2465" s="4"/>
      <c r="X2465" s="4"/>
      <c r="Y2465" s="4"/>
      <c r="Z2465" s="4"/>
      <c r="AA2465" s="4"/>
      <c r="AB2465" s="4"/>
      <c r="AC2465" s="4"/>
      <c r="AD2465" s="4"/>
      <c r="AE2465" s="4"/>
      <c r="AF2465" s="4"/>
      <c r="AG2465" s="4"/>
      <c r="AH2465" s="4"/>
      <c r="AI2465" s="4"/>
      <c r="AJ2465" s="4"/>
      <c r="AK2465" s="4"/>
      <c r="AL2465" s="4"/>
      <c r="AM2465" s="4"/>
      <c r="AN2465" s="4"/>
      <c r="AO2465" s="4"/>
      <c r="AP2465" s="4"/>
      <c r="AQ2465" s="4"/>
      <c r="AR2465" s="4"/>
      <c r="AS2465" s="4"/>
      <c r="AT2465" s="4"/>
      <c r="AU2465" s="4"/>
      <c r="AV2465" s="4"/>
    </row>
    <row r="2466" spans="4:48" x14ac:dyDescent="0.3">
      <c r="D2466" s="5"/>
      <c r="E2466" s="5"/>
      <c r="F2466" s="20"/>
      <c r="G2466" s="20"/>
      <c r="H2466" s="5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4"/>
      <c r="T2466" s="4"/>
      <c r="U2466" s="4"/>
      <c r="V2466" s="4"/>
      <c r="W2466" s="4"/>
      <c r="X2466" s="4"/>
      <c r="Y2466" s="4"/>
      <c r="Z2466" s="4"/>
      <c r="AA2466" s="4"/>
      <c r="AB2466" s="4"/>
      <c r="AC2466" s="4"/>
      <c r="AD2466" s="4"/>
      <c r="AE2466" s="4"/>
      <c r="AF2466" s="4"/>
      <c r="AG2466" s="4"/>
      <c r="AH2466" s="4"/>
      <c r="AI2466" s="4"/>
      <c r="AJ2466" s="4"/>
      <c r="AK2466" s="4"/>
      <c r="AL2466" s="4"/>
      <c r="AM2466" s="4"/>
      <c r="AN2466" s="4"/>
      <c r="AO2466" s="4"/>
      <c r="AP2466" s="4"/>
      <c r="AQ2466" s="4"/>
      <c r="AR2466" s="4"/>
      <c r="AS2466" s="4"/>
      <c r="AT2466" s="4"/>
      <c r="AU2466" s="4"/>
      <c r="AV2466" s="4"/>
    </row>
    <row r="2467" spans="4:48" x14ac:dyDescent="0.3">
      <c r="D2467" s="5"/>
      <c r="E2467" s="5"/>
      <c r="F2467" s="20"/>
      <c r="G2467" s="20"/>
      <c r="H2467" s="5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4"/>
      <c r="T2467" s="4"/>
      <c r="U2467" s="4"/>
      <c r="V2467" s="4"/>
      <c r="W2467" s="4"/>
      <c r="X2467" s="4"/>
      <c r="Y2467" s="4"/>
      <c r="Z2467" s="4"/>
      <c r="AA2467" s="4"/>
      <c r="AB2467" s="4"/>
      <c r="AC2467" s="4"/>
      <c r="AD2467" s="4"/>
      <c r="AE2467" s="4"/>
      <c r="AF2467" s="4"/>
      <c r="AG2467" s="4"/>
      <c r="AH2467" s="4"/>
      <c r="AI2467" s="4"/>
      <c r="AJ2467" s="4"/>
      <c r="AK2467" s="4"/>
      <c r="AL2467" s="4"/>
      <c r="AM2467" s="4"/>
      <c r="AN2467" s="4"/>
      <c r="AO2467" s="4"/>
      <c r="AP2467" s="4"/>
      <c r="AQ2467" s="4"/>
      <c r="AR2467" s="4"/>
      <c r="AS2467" s="4"/>
      <c r="AT2467" s="4"/>
      <c r="AU2467" s="4"/>
      <c r="AV2467" s="4"/>
    </row>
    <row r="2468" spans="4:48" x14ac:dyDescent="0.3">
      <c r="D2468" s="5"/>
      <c r="E2468" s="5"/>
      <c r="F2468" s="20"/>
      <c r="G2468" s="20"/>
      <c r="H2468" s="5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4"/>
      <c r="T2468" s="4"/>
      <c r="U2468" s="4"/>
      <c r="V2468" s="4"/>
      <c r="W2468" s="4"/>
      <c r="X2468" s="4"/>
      <c r="Y2468" s="4"/>
      <c r="Z2468" s="4"/>
      <c r="AA2468" s="4"/>
      <c r="AB2468" s="4"/>
      <c r="AC2468" s="4"/>
      <c r="AD2468" s="4"/>
      <c r="AE2468" s="4"/>
      <c r="AF2468" s="4"/>
      <c r="AG2468" s="4"/>
      <c r="AH2468" s="4"/>
      <c r="AI2468" s="4"/>
      <c r="AJ2468" s="4"/>
      <c r="AK2468" s="4"/>
      <c r="AL2468" s="4"/>
      <c r="AM2468" s="4"/>
      <c r="AN2468" s="4"/>
      <c r="AO2468" s="4"/>
      <c r="AP2468" s="4"/>
      <c r="AQ2468" s="4"/>
      <c r="AR2468" s="4"/>
      <c r="AS2468" s="4"/>
      <c r="AT2468" s="4"/>
      <c r="AU2468" s="4"/>
      <c r="AV2468" s="4"/>
    </row>
    <row r="2469" spans="4:48" x14ac:dyDescent="0.3">
      <c r="D2469" s="5"/>
      <c r="E2469" s="5"/>
      <c r="F2469" s="20"/>
      <c r="G2469" s="20"/>
      <c r="H2469" s="5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4"/>
      <c r="T2469" s="4"/>
      <c r="U2469" s="4"/>
      <c r="V2469" s="4"/>
      <c r="W2469" s="4"/>
      <c r="X2469" s="4"/>
      <c r="Y2469" s="4"/>
      <c r="Z2469" s="4"/>
      <c r="AA2469" s="4"/>
      <c r="AB2469" s="4"/>
      <c r="AC2469" s="4"/>
      <c r="AD2469" s="4"/>
      <c r="AE2469" s="4"/>
      <c r="AF2469" s="4"/>
      <c r="AG2469" s="4"/>
      <c r="AH2469" s="4"/>
      <c r="AI2469" s="4"/>
      <c r="AJ2469" s="4"/>
      <c r="AK2469" s="4"/>
      <c r="AL2469" s="4"/>
      <c r="AM2469" s="4"/>
      <c r="AN2469" s="4"/>
      <c r="AO2469" s="4"/>
      <c r="AP2469" s="4"/>
      <c r="AQ2469" s="4"/>
      <c r="AR2469" s="4"/>
      <c r="AS2469" s="4"/>
      <c r="AT2469" s="4"/>
      <c r="AU2469" s="4"/>
      <c r="AV2469" s="4"/>
    </row>
    <row r="2470" spans="4:48" x14ac:dyDescent="0.3">
      <c r="D2470" s="5"/>
      <c r="E2470" s="5"/>
      <c r="F2470" s="20"/>
      <c r="G2470" s="20"/>
      <c r="H2470" s="5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4"/>
      <c r="T2470" s="4"/>
      <c r="U2470" s="4"/>
      <c r="V2470" s="4"/>
      <c r="W2470" s="4"/>
      <c r="X2470" s="4"/>
      <c r="Y2470" s="4"/>
      <c r="Z2470" s="4"/>
      <c r="AA2470" s="4"/>
      <c r="AB2470" s="4"/>
      <c r="AC2470" s="4"/>
      <c r="AD2470" s="4"/>
      <c r="AE2470" s="4"/>
      <c r="AF2470" s="4"/>
      <c r="AG2470" s="4"/>
      <c r="AH2470" s="4"/>
      <c r="AI2470" s="4"/>
      <c r="AJ2470" s="4"/>
      <c r="AK2470" s="4"/>
      <c r="AL2470" s="4"/>
      <c r="AM2470" s="4"/>
      <c r="AN2470" s="4"/>
      <c r="AO2470" s="4"/>
      <c r="AP2470" s="4"/>
      <c r="AQ2470" s="4"/>
      <c r="AR2470" s="4"/>
      <c r="AS2470" s="4"/>
      <c r="AT2470" s="4"/>
      <c r="AU2470" s="4"/>
      <c r="AV2470" s="4"/>
    </row>
    <row r="2471" spans="4:48" x14ac:dyDescent="0.3">
      <c r="D2471" s="5"/>
      <c r="E2471" s="5"/>
      <c r="F2471" s="20"/>
      <c r="G2471" s="20"/>
      <c r="H2471" s="5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4"/>
      <c r="T2471" s="4"/>
      <c r="U2471" s="4"/>
      <c r="V2471" s="4"/>
      <c r="W2471" s="4"/>
      <c r="X2471" s="4"/>
      <c r="Y2471" s="4"/>
      <c r="Z2471" s="4"/>
      <c r="AA2471" s="4"/>
      <c r="AB2471" s="4"/>
      <c r="AC2471" s="4"/>
      <c r="AD2471" s="4"/>
      <c r="AE2471" s="4"/>
      <c r="AF2471" s="4"/>
      <c r="AG2471" s="4"/>
      <c r="AH2471" s="4"/>
      <c r="AI2471" s="4"/>
      <c r="AJ2471" s="4"/>
      <c r="AK2471" s="4"/>
      <c r="AL2471" s="4"/>
      <c r="AM2471" s="4"/>
      <c r="AN2471" s="4"/>
      <c r="AO2471" s="4"/>
      <c r="AP2471" s="4"/>
      <c r="AQ2471" s="4"/>
      <c r="AR2471" s="4"/>
      <c r="AS2471" s="4"/>
      <c r="AT2471" s="4"/>
      <c r="AU2471" s="4"/>
      <c r="AV2471" s="4"/>
    </row>
    <row r="2472" spans="4:48" x14ac:dyDescent="0.3">
      <c r="D2472" s="5"/>
      <c r="E2472" s="5"/>
      <c r="F2472" s="20"/>
      <c r="G2472" s="20"/>
      <c r="H2472" s="5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4"/>
      <c r="T2472" s="4"/>
      <c r="U2472" s="4"/>
      <c r="V2472" s="4"/>
      <c r="W2472" s="4"/>
      <c r="X2472" s="4"/>
      <c r="Y2472" s="4"/>
      <c r="Z2472" s="4"/>
      <c r="AA2472" s="4"/>
      <c r="AB2472" s="4"/>
      <c r="AC2472" s="4"/>
      <c r="AD2472" s="4"/>
      <c r="AE2472" s="4"/>
      <c r="AF2472" s="4"/>
      <c r="AG2472" s="4"/>
      <c r="AH2472" s="4"/>
      <c r="AI2472" s="4"/>
      <c r="AJ2472" s="4"/>
      <c r="AK2472" s="4"/>
      <c r="AL2472" s="4"/>
      <c r="AM2472" s="4"/>
      <c r="AN2472" s="4"/>
      <c r="AO2472" s="4"/>
      <c r="AP2472" s="4"/>
      <c r="AQ2472" s="4"/>
      <c r="AR2472" s="4"/>
      <c r="AS2472" s="4"/>
      <c r="AT2472" s="4"/>
      <c r="AU2472" s="4"/>
      <c r="AV2472" s="4"/>
    </row>
    <row r="2473" spans="4:48" x14ac:dyDescent="0.3">
      <c r="D2473" s="5"/>
      <c r="E2473" s="5"/>
      <c r="F2473" s="20"/>
      <c r="G2473" s="20"/>
      <c r="H2473" s="5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4"/>
      <c r="T2473" s="4"/>
      <c r="U2473" s="4"/>
      <c r="V2473" s="4"/>
      <c r="W2473" s="4"/>
      <c r="X2473" s="4"/>
      <c r="Y2473" s="4"/>
      <c r="Z2473" s="4"/>
      <c r="AA2473" s="4"/>
      <c r="AB2473" s="4"/>
      <c r="AC2473" s="4"/>
      <c r="AD2473" s="4"/>
      <c r="AE2473" s="4"/>
      <c r="AF2473" s="4"/>
      <c r="AG2473" s="4"/>
      <c r="AH2473" s="4"/>
      <c r="AI2473" s="4"/>
      <c r="AJ2473" s="4"/>
      <c r="AK2473" s="4"/>
      <c r="AL2473" s="4"/>
      <c r="AM2473" s="4"/>
      <c r="AN2473" s="4"/>
      <c r="AO2473" s="4"/>
      <c r="AP2473" s="4"/>
      <c r="AQ2473" s="4"/>
      <c r="AR2473" s="4"/>
      <c r="AS2473" s="4"/>
      <c r="AT2473" s="4"/>
      <c r="AU2473" s="4"/>
      <c r="AV2473" s="4"/>
    </row>
    <row r="2474" spans="4:48" x14ac:dyDescent="0.3">
      <c r="D2474" s="5"/>
      <c r="E2474" s="5"/>
      <c r="F2474" s="20"/>
      <c r="G2474" s="20"/>
      <c r="H2474" s="5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4"/>
      <c r="T2474" s="4"/>
      <c r="U2474" s="4"/>
      <c r="V2474" s="4"/>
      <c r="W2474" s="4"/>
      <c r="X2474" s="4"/>
      <c r="Y2474" s="4"/>
      <c r="Z2474" s="4"/>
      <c r="AA2474" s="4"/>
      <c r="AB2474" s="4"/>
      <c r="AC2474" s="4"/>
      <c r="AD2474" s="4"/>
      <c r="AE2474" s="4"/>
      <c r="AF2474" s="4"/>
      <c r="AG2474" s="4"/>
      <c r="AH2474" s="4"/>
      <c r="AI2474" s="4"/>
      <c r="AJ2474" s="4"/>
      <c r="AK2474" s="4"/>
      <c r="AL2474" s="4"/>
      <c r="AM2474" s="4"/>
      <c r="AN2474" s="4"/>
      <c r="AO2474" s="4"/>
      <c r="AP2474" s="4"/>
      <c r="AQ2474" s="4"/>
      <c r="AR2474" s="4"/>
      <c r="AS2474" s="4"/>
      <c r="AT2474" s="4"/>
      <c r="AU2474" s="4"/>
      <c r="AV2474" s="4"/>
    </row>
    <row r="2475" spans="4:48" x14ac:dyDescent="0.3">
      <c r="D2475" s="5"/>
      <c r="E2475" s="5"/>
      <c r="F2475" s="20"/>
      <c r="G2475" s="20"/>
      <c r="H2475" s="5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4"/>
      <c r="T2475" s="4"/>
      <c r="U2475" s="4"/>
      <c r="V2475" s="4"/>
      <c r="W2475" s="4"/>
      <c r="X2475" s="4"/>
      <c r="Y2475" s="4"/>
      <c r="Z2475" s="4"/>
      <c r="AA2475" s="4"/>
      <c r="AB2475" s="4"/>
      <c r="AC2475" s="4"/>
      <c r="AD2475" s="4"/>
      <c r="AE2475" s="4"/>
      <c r="AF2475" s="4"/>
      <c r="AG2475" s="4"/>
      <c r="AH2475" s="4"/>
      <c r="AI2475" s="4"/>
      <c r="AJ2475" s="4"/>
      <c r="AK2475" s="4"/>
      <c r="AL2475" s="4"/>
      <c r="AM2475" s="4"/>
      <c r="AN2475" s="4"/>
      <c r="AO2475" s="4"/>
      <c r="AP2475" s="4"/>
      <c r="AQ2475" s="4"/>
      <c r="AR2475" s="4"/>
      <c r="AS2475" s="4"/>
      <c r="AT2475" s="4"/>
      <c r="AU2475" s="4"/>
      <c r="AV2475" s="4"/>
    </row>
    <row r="2476" spans="4:48" x14ac:dyDescent="0.3">
      <c r="D2476" s="5"/>
      <c r="E2476" s="5"/>
      <c r="F2476" s="20"/>
      <c r="G2476" s="20"/>
      <c r="H2476" s="5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4"/>
      <c r="T2476" s="4"/>
      <c r="U2476" s="4"/>
      <c r="V2476" s="4"/>
      <c r="W2476" s="4"/>
      <c r="X2476" s="4"/>
      <c r="Y2476" s="4"/>
      <c r="Z2476" s="4"/>
      <c r="AA2476" s="4"/>
      <c r="AB2476" s="4"/>
      <c r="AC2476" s="4"/>
      <c r="AD2476" s="4"/>
      <c r="AE2476" s="4"/>
      <c r="AF2476" s="4"/>
      <c r="AG2476" s="4"/>
      <c r="AH2476" s="4"/>
      <c r="AI2476" s="4"/>
      <c r="AJ2476" s="4"/>
      <c r="AK2476" s="4"/>
      <c r="AL2476" s="4"/>
      <c r="AM2476" s="4"/>
      <c r="AN2476" s="4"/>
      <c r="AO2476" s="4"/>
      <c r="AP2476" s="4"/>
      <c r="AQ2476" s="4"/>
      <c r="AR2476" s="4"/>
      <c r="AS2476" s="4"/>
      <c r="AT2476" s="4"/>
      <c r="AU2476" s="4"/>
      <c r="AV2476" s="4"/>
    </row>
    <row r="2477" spans="4:48" x14ac:dyDescent="0.3">
      <c r="D2477" s="5"/>
      <c r="E2477" s="5"/>
      <c r="F2477" s="20"/>
      <c r="G2477" s="20"/>
      <c r="H2477" s="5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4"/>
      <c r="T2477" s="4"/>
      <c r="U2477" s="4"/>
      <c r="V2477" s="4"/>
      <c r="W2477" s="4"/>
      <c r="X2477" s="4"/>
      <c r="Y2477" s="4"/>
      <c r="Z2477" s="4"/>
      <c r="AA2477" s="4"/>
      <c r="AB2477" s="4"/>
      <c r="AC2477" s="4"/>
      <c r="AD2477" s="4"/>
      <c r="AE2477" s="4"/>
      <c r="AF2477" s="4"/>
      <c r="AG2477" s="4"/>
      <c r="AH2477" s="4"/>
      <c r="AI2477" s="4"/>
      <c r="AJ2477" s="4"/>
      <c r="AK2477" s="4"/>
      <c r="AL2477" s="4"/>
      <c r="AM2477" s="4"/>
      <c r="AN2477" s="4"/>
      <c r="AO2477" s="4"/>
      <c r="AP2477" s="4"/>
      <c r="AQ2477" s="4"/>
      <c r="AR2477" s="4"/>
      <c r="AS2477" s="4"/>
      <c r="AT2477" s="4"/>
      <c r="AU2477" s="4"/>
      <c r="AV2477" s="4"/>
    </row>
    <row r="2478" spans="4:48" x14ac:dyDescent="0.3">
      <c r="D2478" s="5"/>
      <c r="E2478" s="5"/>
      <c r="F2478" s="20"/>
      <c r="G2478" s="20"/>
      <c r="H2478" s="5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4"/>
      <c r="T2478" s="4"/>
      <c r="U2478" s="4"/>
      <c r="V2478" s="4"/>
      <c r="W2478" s="4"/>
      <c r="X2478" s="4"/>
      <c r="Y2478" s="4"/>
      <c r="Z2478" s="4"/>
      <c r="AA2478" s="4"/>
      <c r="AB2478" s="4"/>
      <c r="AC2478" s="4"/>
      <c r="AD2478" s="4"/>
      <c r="AE2478" s="4"/>
      <c r="AF2478" s="4"/>
      <c r="AG2478" s="4"/>
      <c r="AH2478" s="4"/>
      <c r="AI2478" s="4"/>
      <c r="AJ2478" s="4"/>
      <c r="AK2478" s="4"/>
      <c r="AL2478" s="4"/>
      <c r="AM2478" s="4"/>
      <c r="AN2478" s="4"/>
      <c r="AO2478" s="4"/>
      <c r="AP2478" s="4"/>
      <c r="AQ2478" s="4"/>
      <c r="AR2478" s="4"/>
      <c r="AS2478" s="4"/>
      <c r="AT2478" s="4"/>
      <c r="AU2478" s="4"/>
      <c r="AV2478" s="4"/>
    </row>
    <row r="2479" spans="4:48" x14ac:dyDescent="0.3">
      <c r="D2479" s="5"/>
      <c r="E2479" s="5"/>
      <c r="F2479" s="20"/>
      <c r="G2479" s="20"/>
      <c r="H2479" s="5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4"/>
      <c r="T2479" s="4"/>
      <c r="U2479" s="4"/>
      <c r="V2479" s="4"/>
      <c r="W2479" s="4"/>
      <c r="X2479" s="4"/>
      <c r="Y2479" s="4"/>
      <c r="Z2479" s="4"/>
      <c r="AA2479" s="4"/>
      <c r="AB2479" s="4"/>
      <c r="AC2479" s="4"/>
      <c r="AD2479" s="4"/>
      <c r="AE2479" s="4"/>
      <c r="AF2479" s="4"/>
      <c r="AG2479" s="4"/>
      <c r="AH2479" s="4"/>
      <c r="AI2479" s="4"/>
      <c r="AJ2479" s="4"/>
      <c r="AK2479" s="4"/>
      <c r="AL2479" s="4"/>
      <c r="AM2479" s="4"/>
      <c r="AN2479" s="4"/>
      <c r="AO2479" s="4"/>
      <c r="AP2479" s="4"/>
      <c r="AQ2479" s="4"/>
      <c r="AR2479" s="4"/>
      <c r="AS2479" s="4"/>
      <c r="AT2479" s="4"/>
      <c r="AU2479" s="4"/>
      <c r="AV2479" s="4"/>
    </row>
    <row r="2480" spans="4:48" x14ac:dyDescent="0.3">
      <c r="D2480" s="5"/>
      <c r="E2480" s="5"/>
      <c r="F2480" s="20"/>
      <c r="G2480" s="20"/>
      <c r="H2480" s="5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4"/>
      <c r="T2480" s="4"/>
      <c r="U2480" s="4"/>
      <c r="V2480" s="4"/>
      <c r="W2480" s="4"/>
      <c r="X2480" s="4"/>
      <c r="Y2480" s="4"/>
      <c r="Z2480" s="4"/>
      <c r="AA2480" s="4"/>
      <c r="AB2480" s="4"/>
      <c r="AC2480" s="4"/>
      <c r="AD2480" s="4"/>
      <c r="AE2480" s="4"/>
      <c r="AF2480" s="4"/>
      <c r="AG2480" s="4"/>
      <c r="AH2480" s="4"/>
      <c r="AI2480" s="4"/>
      <c r="AJ2480" s="4"/>
      <c r="AK2480" s="4"/>
      <c r="AL2480" s="4"/>
      <c r="AM2480" s="4"/>
      <c r="AN2480" s="4"/>
      <c r="AO2480" s="4"/>
      <c r="AP2480" s="4"/>
      <c r="AQ2480" s="4"/>
      <c r="AR2480" s="4"/>
      <c r="AS2480" s="4"/>
      <c r="AT2480" s="4"/>
      <c r="AU2480" s="4"/>
      <c r="AV2480" s="4"/>
    </row>
    <row r="2481" spans="4:48" x14ac:dyDescent="0.3">
      <c r="D2481" s="5"/>
      <c r="E2481" s="5"/>
      <c r="F2481" s="20"/>
      <c r="G2481" s="20"/>
      <c r="H2481" s="5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4"/>
      <c r="T2481" s="4"/>
      <c r="U2481" s="4"/>
      <c r="V2481" s="4"/>
      <c r="W2481" s="4"/>
      <c r="X2481" s="4"/>
      <c r="Y2481" s="4"/>
      <c r="Z2481" s="4"/>
      <c r="AA2481" s="4"/>
      <c r="AB2481" s="4"/>
      <c r="AC2481" s="4"/>
      <c r="AD2481" s="4"/>
      <c r="AE2481" s="4"/>
      <c r="AF2481" s="4"/>
      <c r="AG2481" s="4"/>
      <c r="AH2481" s="4"/>
      <c r="AI2481" s="4"/>
      <c r="AJ2481" s="4"/>
      <c r="AK2481" s="4"/>
      <c r="AL2481" s="4"/>
      <c r="AM2481" s="4"/>
      <c r="AN2481" s="4"/>
      <c r="AO2481" s="4"/>
      <c r="AP2481" s="4"/>
      <c r="AQ2481" s="4"/>
      <c r="AR2481" s="4"/>
      <c r="AS2481" s="4"/>
      <c r="AT2481" s="4"/>
      <c r="AU2481" s="4"/>
      <c r="AV2481" s="4"/>
    </row>
    <row r="2482" spans="4:48" x14ac:dyDescent="0.3">
      <c r="D2482" s="5"/>
      <c r="E2482" s="5"/>
      <c r="F2482" s="20"/>
      <c r="G2482" s="20"/>
      <c r="H2482" s="5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4"/>
      <c r="T2482" s="4"/>
      <c r="U2482" s="4"/>
      <c r="V2482" s="4"/>
      <c r="W2482" s="4"/>
      <c r="X2482" s="4"/>
      <c r="Y2482" s="4"/>
      <c r="Z2482" s="4"/>
      <c r="AA2482" s="4"/>
      <c r="AB2482" s="4"/>
      <c r="AC2482" s="4"/>
      <c r="AD2482" s="4"/>
      <c r="AE2482" s="4"/>
      <c r="AF2482" s="4"/>
      <c r="AG2482" s="4"/>
      <c r="AH2482" s="4"/>
      <c r="AI2482" s="4"/>
      <c r="AJ2482" s="4"/>
      <c r="AK2482" s="4"/>
      <c r="AL2482" s="4"/>
      <c r="AM2482" s="4"/>
      <c r="AN2482" s="4"/>
      <c r="AO2482" s="4"/>
      <c r="AP2482" s="4"/>
      <c r="AQ2482" s="4"/>
      <c r="AR2482" s="4"/>
      <c r="AS2482" s="4"/>
      <c r="AT2482" s="4"/>
      <c r="AU2482" s="4"/>
      <c r="AV2482" s="4"/>
    </row>
    <row r="2483" spans="4:48" x14ac:dyDescent="0.3">
      <c r="D2483" s="5"/>
      <c r="E2483" s="5"/>
      <c r="F2483" s="20"/>
      <c r="G2483" s="20"/>
      <c r="H2483" s="5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4"/>
      <c r="T2483" s="4"/>
      <c r="U2483" s="4"/>
      <c r="V2483" s="4"/>
      <c r="W2483" s="4"/>
      <c r="X2483" s="4"/>
      <c r="Y2483" s="4"/>
      <c r="Z2483" s="4"/>
      <c r="AA2483" s="4"/>
      <c r="AB2483" s="4"/>
      <c r="AC2483" s="4"/>
      <c r="AD2483" s="4"/>
      <c r="AE2483" s="4"/>
      <c r="AF2483" s="4"/>
      <c r="AG2483" s="4"/>
      <c r="AH2483" s="4"/>
      <c r="AI2483" s="4"/>
      <c r="AJ2483" s="4"/>
      <c r="AK2483" s="4"/>
      <c r="AL2483" s="4"/>
      <c r="AM2483" s="4"/>
      <c r="AN2483" s="4"/>
      <c r="AO2483" s="4"/>
      <c r="AP2483" s="4"/>
      <c r="AQ2483" s="4"/>
      <c r="AR2483" s="4"/>
      <c r="AS2483" s="4"/>
      <c r="AT2483" s="4"/>
      <c r="AU2483" s="4"/>
      <c r="AV2483" s="4"/>
    </row>
    <row r="2484" spans="4:48" x14ac:dyDescent="0.3">
      <c r="D2484" s="5"/>
      <c r="E2484" s="5"/>
      <c r="F2484" s="20"/>
      <c r="G2484" s="20"/>
      <c r="H2484" s="5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4"/>
      <c r="T2484" s="4"/>
      <c r="U2484" s="4"/>
      <c r="V2484" s="4"/>
      <c r="W2484" s="4"/>
      <c r="X2484" s="4"/>
      <c r="Y2484" s="4"/>
      <c r="Z2484" s="4"/>
      <c r="AA2484" s="4"/>
      <c r="AB2484" s="4"/>
      <c r="AC2484" s="4"/>
      <c r="AD2484" s="4"/>
      <c r="AE2484" s="4"/>
      <c r="AF2484" s="4"/>
      <c r="AG2484" s="4"/>
      <c r="AH2484" s="4"/>
      <c r="AI2484" s="4"/>
      <c r="AJ2484" s="4"/>
      <c r="AK2484" s="4"/>
      <c r="AL2484" s="4"/>
      <c r="AM2484" s="4"/>
      <c r="AN2484" s="4"/>
      <c r="AO2484" s="4"/>
      <c r="AP2484" s="4"/>
      <c r="AQ2484" s="4"/>
      <c r="AR2484" s="4"/>
      <c r="AS2484" s="4"/>
      <c r="AT2484" s="4"/>
      <c r="AU2484" s="4"/>
      <c r="AV2484" s="4"/>
    </row>
    <row r="2485" spans="4:48" x14ac:dyDescent="0.3">
      <c r="D2485" s="5"/>
      <c r="E2485" s="5"/>
      <c r="F2485" s="20"/>
      <c r="G2485" s="20"/>
      <c r="H2485" s="5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4"/>
      <c r="T2485" s="4"/>
      <c r="U2485" s="4"/>
      <c r="V2485" s="4"/>
      <c r="W2485" s="4"/>
      <c r="X2485" s="4"/>
      <c r="Y2485" s="4"/>
      <c r="Z2485" s="4"/>
      <c r="AA2485" s="4"/>
      <c r="AB2485" s="4"/>
      <c r="AC2485" s="4"/>
      <c r="AD2485" s="4"/>
      <c r="AE2485" s="4"/>
      <c r="AF2485" s="4"/>
      <c r="AG2485" s="4"/>
      <c r="AH2485" s="4"/>
      <c r="AI2485" s="4"/>
      <c r="AJ2485" s="4"/>
      <c r="AK2485" s="4"/>
      <c r="AL2485" s="4"/>
      <c r="AM2485" s="4"/>
      <c r="AN2485" s="4"/>
      <c r="AO2485" s="4"/>
      <c r="AP2485" s="4"/>
      <c r="AQ2485" s="4"/>
      <c r="AR2485" s="4"/>
      <c r="AS2485" s="4"/>
      <c r="AT2485" s="4"/>
      <c r="AU2485" s="4"/>
      <c r="AV2485" s="4"/>
    </row>
    <row r="2486" spans="4:48" x14ac:dyDescent="0.3">
      <c r="D2486" s="5"/>
      <c r="E2486" s="5"/>
      <c r="F2486" s="20"/>
      <c r="G2486" s="20"/>
      <c r="H2486" s="5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4"/>
      <c r="T2486" s="4"/>
      <c r="U2486" s="4"/>
      <c r="V2486" s="4"/>
      <c r="W2486" s="4"/>
      <c r="X2486" s="4"/>
      <c r="Y2486" s="4"/>
      <c r="Z2486" s="4"/>
      <c r="AA2486" s="4"/>
      <c r="AB2486" s="4"/>
      <c r="AC2486" s="4"/>
      <c r="AD2486" s="4"/>
      <c r="AE2486" s="4"/>
      <c r="AF2486" s="4"/>
      <c r="AG2486" s="4"/>
      <c r="AH2486" s="4"/>
      <c r="AI2486" s="4"/>
      <c r="AJ2486" s="4"/>
      <c r="AK2486" s="4"/>
      <c r="AL2486" s="4"/>
      <c r="AM2486" s="4"/>
      <c r="AN2486" s="4"/>
      <c r="AO2486" s="4"/>
      <c r="AP2486" s="4"/>
      <c r="AQ2486" s="4"/>
      <c r="AR2486" s="4"/>
      <c r="AS2486" s="4"/>
      <c r="AT2486" s="4"/>
      <c r="AU2486" s="4"/>
      <c r="AV2486" s="4"/>
    </row>
    <row r="2487" spans="4:48" x14ac:dyDescent="0.3">
      <c r="D2487" s="5"/>
      <c r="E2487" s="5"/>
      <c r="F2487" s="20"/>
      <c r="G2487" s="20"/>
      <c r="H2487" s="5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4"/>
      <c r="T2487" s="4"/>
      <c r="U2487" s="4"/>
      <c r="V2487" s="4"/>
      <c r="W2487" s="4"/>
      <c r="X2487" s="4"/>
      <c r="Y2487" s="4"/>
      <c r="Z2487" s="4"/>
      <c r="AA2487" s="4"/>
      <c r="AB2487" s="4"/>
      <c r="AC2487" s="4"/>
      <c r="AD2487" s="4"/>
      <c r="AE2487" s="4"/>
      <c r="AF2487" s="4"/>
      <c r="AG2487" s="4"/>
      <c r="AH2487" s="4"/>
      <c r="AI2487" s="4"/>
      <c r="AJ2487" s="4"/>
      <c r="AK2487" s="4"/>
      <c r="AL2487" s="4"/>
      <c r="AM2487" s="4"/>
      <c r="AN2487" s="4"/>
      <c r="AO2487" s="4"/>
      <c r="AP2487" s="4"/>
      <c r="AQ2487" s="4"/>
      <c r="AR2487" s="4"/>
      <c r="AS2487" s="4"/>
      <c r="AT2487" s="4"/>
      <c r="AU2487" s="4"/>
      <c r="AV2487" s="4"/>
    </row>
    <row r="2488" spans="4:48" x14ac:dyDescent="0.3">
      <c r="D2488" s="5"/>
      <c r="E2488" s="5"/>
      <c r="F2488" s="20"/>
      <c r="G2488" s="20"/>
      <c r="H2488" s="5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4"/>
      <c r="T2488" s="4"/>
      <c r="U2488" s="4"/>
      <c r="V2488" s="4"/>
      <c r="W2488" s="4"/>
      <c r="X2488" s="4"/>
      <c r="Y2488" s="4"/>
      <c r="Z2488" s="4"/>
      <c r="AA2488" s="4"/>
      <c r="AB2488" s="4"/>
      <c r="AC2488" s="4"/>
      <c r="AD2488" s="4"/>
      <c r="AE2488" s="4"/>
      <c r="AF2488" s="4"/>
      <c r="AG2488" s="4"/>
      <c r="AH2488" s="4"/>
      <c r="AI2488" s="4"/>
      <c r="AJ2488" s="4"/>
      <c r="AK2488" s="4"/>
      <c r="AL2488" s="4"/>
      <c r="AM2488" s="4"/>
      <c r="AN2488" s="4"/>
      <c r="AO2488" s="4"/>
      <c r="AP2488" s="4"/>
      <c r="AQ2488" s="4"/>
      <c r="AR2488" s="4"/>
      <c r="AS2488" s="4"/>
      <c r="AT2488" s="4"/>
      <c r="AU2488" s="4"/>
      <c r="AV2488" s="4"/>
    </row>
    <row r="2489" spans="4:48" x14ac:dyDescent="0.3">
      <c r="D2489" s="5"/>
      <c r="E2489" s="5"/>
      <c r="F2489" s="20"/>
      <c r="G2489" s="20"/>
      <c r="H2489" s="5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4"/>
      <c r="T2489" s="4"/>
      <c r="U2489" s="4"/>
      <c r="V2489" s="4"/>
      <c r="W2489" s="4"/>
      <c r="X2489" s="4"/>
      <c r="Y2489" s="4"/>
      <c r="Z2489" s="4"/>
      <c r="AA2489" s="4"/>
      <c r="AB2489" s="4"/>
      <c r="AC2489" s="4"/>
      <c r="AD2489" s="4"/>
      <c r="AE2489" s="4"/>
      <c r="AF2489" s="4"/>
      <c r="AG2489" s="4"/>
      <c r="AH2489" s="4"/>
      <c r="AI2489" s="4"/>
      <c r="AJ2489" s="4"/>
      <c r="AK2489" s="4"/>
      <c r="AL2489" s="4"/>
      <c r="AM2489" s="4"/>
      <c r="AN2489" s="4"/>
      <c r="AO2489" s="4"/>
      <c r="AP2489" s="4"/>
      <c r="AQ2489" s="4"/>
      <c r="AR2489" s="4"/>
      <c r="AS2489" s="4"/>
      <c r="AT2489" s="4"/>
      <c r="AU2489" s="4"/>
      <c r="AV2489" s="4"/>
    </row>
    <row r="2490" spans="4:48" x14ac:dyDescent="0.3">
      <c r="D2490" s="5"/>
      <c r="E2490" s="5"/>
      <c r="F2490" s="20"/>
      <c r="G2490" s="20"/>
      <c r="H2490" s="5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4"/>
      <c r="T2490" s="4"/>
      <c r="U2490" s="4"/>
      <c r="V2490" s="4"/>
      <c r="W2490" s="4"/>
      <c r="X2490" s="4"/>
      <c r="Y2490" s="4"/>
      <c r="Z2490" s="4"/>
      <c r="AA2490" s="4"/>
      <c r="AB2490" s="4"/>
      <c r="AC2490" s="4"/>
      <c r="AD2490" s="4"/>
      <c r="AE2490" s="4"/>
      <c r="AF2490" s="4"/>
      <c r="AG2490" s="4"/>
      <c r="AH2490" s="4"/>
      <c r="AI2490" s="4"/>
      <c r="AJ2490" s="4"/>
      <c r="AK2490" s="4"/>
      <c r="AL2490" s="4"/>
      <c r="AM2490" s="4"/>
      <c r="AN2490" s="4"/>
      <c r="AO2490" s="4"/>
      <c r="AP2490" s="4"/>
      <c r="AQ2490" s="4"/>
      <c r="AR2490" s="4"/>
      <c r="AS2490" s="4"/>
      <c r="AT2490" s="4"/>
      <c r="AU2490" s="4"/>
      <c r="AV2490" s="4"/>
    </row>
    <row r="2491" spans="4:48" x14ac:dyDescent="0.3">
      <c r="D2491" s="5"/>
      <c r="E2491" s="5"/>
      <c r="F2491" s="20"/>
      <c r="G2491" s="20"/>
      <c r="H2491" s="5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4"/>
      <c r="T2491" s="4"/>
      <c r="U2491" s="4"/>
      <c r="V2491" s="4"/>
      <c r="W2491" s="4"/>
      <c r="X2491" s="4"/>
      <c r="Y2491" s="4"/>
      <c r="Z2491" s="4"/>
      <c r="AA2491" s="4"/>
      <c r="AB2491" s="4"/>
      <c r="AC2491" s="4"/>
      <c r="AD2491" s="4"/>
      <c r="AE2491" s="4"/>
      <c r="AF2491" s="4"/>
      <c r="AG2491" s="4"/>
      <c r="AH2491" s="4"/>
      <c r="AI2491" s="4"/>
      <c r="AJ2491" s="4"/>
      <c r="AK2491" s="4"/>
      <c r="AL2491" s="4"/>
      <c r="AM2491" s="4"/>
      <c r="AN2491" s="4"/>
      <c r="AO2491" s="4"/>
      <c r="AP2491" s="4"/>
      <c r="AQ2491" s="4"/>
      <c r="AR2491" s="4"/>
      <c r="AS2491" s="4"/>
      <c r="AT2491" s="4"/>
      <c r="AU2491" s="4"/>
      <c r="AV2491" s="4"/>
    </row>
    <row r="2492" spans="4:48" x14ac:dyDescent="0.3">
      <c r="D2492" s="5"/>
      <c r="E2492" s="5"/>
      <c r="F2492" s="20"/>
      <c r="G2492" s="20"/>
      <c r="H2492" s="5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4"/>
      <c r="T2492" s="4"/>
      <c r="U2492" s="4"/>
      <c r="V2492" s="4"/>
      <c r="W2492" s="4"/>
      <c r="X2492" s="4"/>
      <c r="Y2492" s="4"/>
      <c r="Z2492" s="4"/>
      <c r="AA2492" s="4"/>
      <c r="AB2492" s="4"/>
      <c r="AC2492" s="4"/>
      <c r="AD2492" s="4"/>
      <c r="AE2492" s="4"/>
      <c r="AF2492" s="4"/>
      <c r="AG2492" s="4"/>
      <c r="AH2492" s="4"/>
      <c r="AI2492" s="4"/>
      <c r="AJ2492" s="4"/>
      <c r="AK2492" s="4"/>
      <c r="AL2492" s="4"/>
      <c r="AM2492" s="4"/>
      <c r="AN2492" s="4"/>
      <c r="AO2492" s="4"/>
      <c r="AP2492" s="4"/>
      <c r="AQ2492" s="4"/>
      <c r="AR2492" s="4"/>
      <c r="AS2492" s="4"/>
      <c r="AT2492" s="4"/>
      <c r="AU2492" s="4"/>
      <c r="AV2492" s="4"/>
    </row>
    <row r="2493" spans="4:48" x14ac:dyDescent="0.3">
      <c r="D2493" s="5"/>
      <c r="E2493" s="5"/>
      <c r="F2493" s="20"/>
      <c r="G2493" s="20"/>
      <c r="H2493" s="5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4"/>
      <c r="T2493" s="4"/>
      <c r="U2493" s="4"/>
      <c r="V2493" s="4"/>
      <c r="W2493" s="4"/>
      <c r="X2493" s="4"/>
      <c r="Y2493" s="4"/>
      <c r="Z2493" s="4"/>
      <c r="AA2493" s="4"/>
      <c r="AB2493" s="4"/>
      <c r="AC2493" s="4"/>
      <c r="AD2493" s="4"/>
      <c r="AE2493" s="4"/>
      <c r="AF2493" s="4"/>
      <c r="AG2493" s="4"/>
      <c r="AH2493" s="4"/>
      <c r="AI2493" s="4"/>
      <c r="AJ2493" s="4"/>
      <c r="AK2493" s="4"/>
      <c r="AL2493" s="4"/>
      <c r="AM2493" s="4"/>
      <c r="AN2493" s="4"/>
      <c r="AO2493" s="4"/>
      <c r="AP2493" s="4"/>
      <c r="AQ2493" s="4"/>
      <c r="AR2493" s="4"/>
      <c r="AS2493" s="4"/>
      <c r="AT2493" s="4"/>
      <c r="AU2493" s="4"/>
      <c r="AV2493" s="4"/>
    </row>
    <row r="2494" spans="4:48" x14ac:dyDescent="0.3">
      <c r="D2494" s="5"/>
      <c r="E2494" s="5"/>
      <c r="F2494" s="20"/>
      <c r="G2494" s="20"/>
      <c r="H2494" s="5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4"/>
      <c r="T2494" s="4"/>
      <c r="U2494" s="4"/>
      <c r="V2494" s="4"/>
      <c r="W2494" s="4"/>
      <c r="X2494" s="4"/>
      <c r="Y2494" s="4"/>
      <c r="Z2494" s="4"/>
      <c r="AA2494" s="4"/>
      <c r="AB2494" s="4"/>
      <c r="AC2494" s="4"/>
      <c r="AD2494" s="4"/>
      <c r="AE2494" s="4"/>
      <c r="AF2494" s="4"/>
      <c r="AG2494" s="4"/>
      <c r="AH2494" s="4"/>
      <c r="AI2494" s="4"/>
      <c r="AJ2494" s="4"/>
      <c r="AK2494" s="4"/>
      <c r="AL2494" s="4"/>
      <c r="AM2494" s="4"/>
      <c r="AN2494" s="4"/>
      <c r="AO2494" s="4"/>
      <c r="AP2494" s="4"/>
      <c r="AQ2494" s="4"/>
      <c r="AR2494" s="4"/>
      <c r="AS2494" s="4"/>
      <c r="AT2494" s="4"/>
      <c r="AU2494" s="4"/>
      <c r="AV2494" s="4"/>
    </row>
    <row r="2495" spans="4:48" x14ac:dyDescent="0.3">
      <c r="D2495" s="5"/>
      <c r="E2495" s="5"/>
      <c r="F2495" s="20"/>
      <c r="G2495" s="20"/>
      <c r="H2495" s="5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4"/>
      <c r="T2495" s="4"/>
      <c r="U2495" s="4"/>
      <c r="V2495" s="4"/>
      <c r="W2495" s="4"/>
      <c r="X2495" s="4"/>
      <c r="Y2495" s="4"/>
      <c r="Z2495" s="4"/>
      <c r="AA2495" s="4"/>
      <c r="AB2495" s="4"/>
      <c r="AC2495" s="4"/>
      <c r="AD2495" s="4"/>
      <c r="AE2495" s="4"/>
      <c r="AF2495" s="4"/>
      <c r="AG2495" s="4"/>
      <c r="AH2495" s="4"/>
      <c r="AI2495" s="4"/>
      <c r="AJ2495" s="4"/>
      <c r="AK2495" s="4"/>
      <c r="AL2495" s="4"/>
      <c r="AM2495" s="4"/>
      <c r="AN2495" s="4"/>
      <c r="AO2495" s="4"/>
      <c r="AP2495" s="4"/>
      <c r="AQ2495" s="4"/>
      <c r="AR2495" s="4"/>
      <c r="AS2495" s="4"/>
      <c r="AT2495" s="4"/>
      <c r="AU2495" s="4"/>
      <c r="AV2495" s="4"/>
    </row>
    <row r="2496" spans="4:48" x14ac:dyDescent="0.3">
      <c r="D2496" s="5"/>
      <c r="E2496" s="5"/>
      <c r="F2496" s="20"/>
      <c r="G2496" s="20"/>
      <c r="H2496" s="5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4"/>
      <c r="T2496" s="4"/>
      <c r="U2496" s="4"/>
      <c r="V2496" s="4"/>
      <c r="W2496" s="4"/>
      <c r="X2496" s="4"/>
      <c r="Y2496" s="4"/>
      <c r="Z2496" s="4"/>
      <c r="AA2496" s="4"/>
      <c r="AB2496" s="4"/>
      <c r="AC2496" s="4"/>
      <c r="AD2496" s="4"/>
      <c r="AE2496" s="4"/>
      <c r="AF2496" s="4"/>
      <c r="AG2496" s="4"/>
      <c r="AH2496" s="4"/>
      <c r="AI2496" s="4"/>
      <c r="AJ2496" s="4"/>
      <c r="AK2496" s="4"/>
      <c r="AL2496" s="4"/>
      <c r="AM2496" s="4"/>
      <c r="AN2496" s="4"/>
      <c r="AO2496" s="4"/>
      <c r="AP2496" s="4"/>
      <c r="AQ2496" s="4"/>
      <c r="AR2496" s="4"/>
      <c r="AS2496" s="4"/>
      <c r="AT2496" s="4"/>
      <c r="AU2496" s="4"/>
      <c r="AV2496" s="4"/>
    </row>
    <row r="2497" spans="4:48" x14ac:dyDescent="0.3">
      <c r="D2497" s="5"/>
      <c r="E2497" s="5"/>
      <c r="F2497" s="20"/>
      <c r="G2497" s="20"/>
      <c r="H2497" s="5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4"/>
      <c r="T2497" s="4"/>
      <c r="U2497" s="4"/>
      <c r="V2497" s="4"/>
      <c r="W2497" s="4"/>
      <c r="X2497" s="4"/>
      <c r="Y2497" s="4"/>
      <c r="Z2497" s="4"/>
      <c r="AA2497" s="4"/>
      <c r="AB2497" s="4"/>
      <c r="AC2497" s="4"/>
      <c r="AD2497" s="4"/>
      <c r="AE2497" s="4"/>
      <c r="AF2497" s="4"/>
      <c r="AG2497" s="4"/>
      <c r="AH2497" s="4"/>
      <c r="AI2497" s="4"/>
      <c r="AJ2497" s="4"/>
      <c r="AK2497" s="4"/>
      <c r="AL2497" s="4"/>
      <c r="AM2497" s="4"/>
      <c r="AN2497" s="4"/>
      <c r="AO2497" s="4"/>
      <c r="AP2497" s="4"/>
      <c r="AQ2497" s="4"/>
      <c r="AR2497" s="4"/>
      <c r="AS2497" s="4"/>
      <c r="AT2497" s="4"/>
      <c r="AU2497" s="4"/>
      <c r="AV2497" s="4"/>
    </row>
    <row r="2498" spans="4:48" x14ac:dyDescent="0.3">
      <c r="D2498" s="5"/>
      <c r="E2498" s="5"/>
      <c r="F2498" s="20"/>
      <c r="G2498" s="20"/>
      <c r="H2498" s="5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4"/>
      <c r="T2498" s="4"/>
      <c r="U2498" s="4"/>
      <c r="V2498" s="4"/>
      <c r="W2498" s="4"/>
      <c r="X2498" s="4"/>
      <c r="Y2498" s="4"/>
      <c r="Z2498" s="4"/>
      <c r="AA2498" s="4"/>
      <c r="AB2498" s="4"/>
      <c r="AC2498" s="4"/>
      <c r="AD2498" s="4"/>
      <c r="AE2498" s="4"/>
      <c r="AF2498" s="4"/>
      <c r="AG2498" s="4"/>
      <c r="AH2498" s="4"/>
      <c r="AI2498" s="4"/>
      <c r="AJ2498" s="4"/>
      <c r="AK2498" s="4"/>
      <c r="AL2498" s="4"/>
      <c r="AM2498" s="4"/>
      <c r="AN2498" s="4"/>
      <c r="AO2498" s="4"/>
      <c r="AP2498" s="4"/>
      <c r="AQ2498" s="4"/>
      <c r="AR2498" s="4"/>
      <c r="AS2498" s="4"/>
      <c r="AT2498" s="4"/>
      <c r="AU2498" s="4"/>
      <c r="AV2498" s="4"/>
    </row>
    <row r="2499" spans="4:48" x14ac:dyDescent="0.3">
      <c r="D2499" s="5"/>
      <c r="E2499" s="5"/>
      <c r="F2499" s="20"/>
      <c r="G2499" s="20"/>
      <c r="H2499" s="5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4"/>
      <c r="T2499" s="4"/>
      <c r="U2499" s="4"/>
      <c r="V2499" s="4"/>
      <c r="W2499" s="4"/>
      <c r="X2499" s="4"/>
      <c r="Y2499" s="4"/>
      <c r="Z2499" s="4"/>
      <c r="AA2499" s="4"/>
      <c r="AB2499" s="4"/>
      <c r="AC2499" s="4"/>
      <c r="AD2499" s="4"/>
      <c r="AE2499" s="4"/>
      <c r="AF2499" s="4"/>
      <c r="AG2499" s="4"/>
      <c r="AH2499" s="4"/>
      <c r="AI2499" s="4"/>
      <c r="AJ2499" s="4"/>
      <c r="AK2499" s="4"/>
      <c r="AL2499" s="4"/>
      <c r="AM2499" s="4"/>
      <c r="AN2499" s="4"/>
      <c r="AO2499" s="4"/>
      <c r="AP2499" s="4"/>
      <c r="AQ2499" s="4"/>
      <c r="AR2499" s="4"/>
      <c r="AS2499" s="4"/>
      <c r="AT2499" s="4"/>
      <c r="AU2499" s="4"/>
      <c r="AV2499" s="4"/>
    </row>
    <row r="2500" spans="4:48" x14ac:dyDescent="0.3">
      <c r="D2500" s="5"/>
      <c r="E2500" s="5"/>
      <c r="F2500" s="20"/>
      <c r="G2500" s="20"/>
      <c r="H2500" s="5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4"/>
      <c r="T2500" s="4"/>
      <c r="U2500" s="4"/>
      <c r="V2500" s="4"/>
      <c r="W2500" s="4"/>
      <c r="X2500" s="4"/>
      <c r="Y2500" s="4"/>
      <c r="Z2500" s="4"/>
      <c r="AA2500" s="4"/>
      <c r="AB2500" s="4"/>
      <c r="AC2500" s="4"/>
      <c r="AD2500" s="4"/>
      <c r="AE2500" s="4"/>
      <c r="AF2500" s="4"/>
      <c r="AG2500" s="4"/>
      <c r="AH2500" s="4"/>
      <c r="AI2500" s="4"/>
      <c r="AJ2500" s="4"/>
      <c r="AK2500" s="4"/>
      <c r="AL2500" s="4"/>
      <c r="AM2500" s="4"/>
      <c r="AN2500" s="4"/>
      <c r="AO2500" s="4"/>
      <c r="AP2500" s="4"/>
      <c r="AQ2500" s="4"/>
      <c r="AR2500" s="4"/>
      <c r="AS2500" s="4"/>
      <c r="AT2500" s="4"/>
      <c r="AU2500" s="4"/>
      <c r="AV2500" s="4"/>
    </row>
    <row r="2501" spans="4:48" x14ac:dyDescent="0.3">
      <c r="D2501" s="5"/>
      <c r="E2501" s="5"/>
      <c r="F2501" s="20"/>
      <c r="G2501" s="20"/>
      <c r="H2501" s="5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4"/>
      <c r="T2501" s="4"/>
      <c r="U2501" s="4"/>
      <c r="V2501" s="4"/>
      <c r="W2501" s="4"/>
      <c r="X2501" s="4"/>
      <c r="Y2501" s="4"/>
      <c r="Z2501" s="4"/>
      <c r="AA2501" s="4"/>
      <c r="AB2501" s="4"/>
      <c r="AC2501" s="4"/>
      <c r="AD2501" s="4"/>
      <c r="AE2501" s="4"/>
      <c r="AF2501" s="4"/>
      <c r="AG2501" s="4"/>
      <c r="AH2501" s="4"/>
      <c r="AI2501" s="4"/>
      <c r="AJ2501" s="4"/>
      <c r="AK2501" s="4"/>
      <c r="AL2501" s="4"/>
      <c r="AM2501" s="4"/>
      <c r="AN2501" s="4"/>
      <c r="AO2501" s="4"/>
      <c r="AP2501" s="4"/>
      <c r="AQ2501" s="4"/>
      <c r="AR2501" s="4"/>
      <c r="AS2501" s="4"/>
      <c r="AT2501" s="4"/>
      <c r="AU2501" s="4"/>
      <c r="AV2501" s="4"/>
    </row>
    <row r="2502" spans="4:48" x14ac:dyDescent="0.3">
      <c r="D2502" s="5"/>
      <c r="E2502" s="5"/>
      <c r="F2502" s="20"/>
      <c r="G2502" s="20"/>
      <c r="H2502" s="5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4"/>
      <c r="T2502" s="4"/>
      <c r="U2502" s="4"/>
      <c r="V2502" s="4"/>
      <c r="W2502" s="4"/>
      <c r="X2502" s="4"/>
      <c r="Y2502" s="4"/>
      <c r="Z2502" s="4"/>
      <c r="AA2502" s="4"/>
      <c r="AB2502" s="4"/>
      <c r="AC2502" s="4"/>
      <c r="AD2502" s="4"/>
      <c r="AE2502" s="4"/>
      <c r="AF2502" s="4"/>
      <c r="AG2502" s="4"/>
      <c r="AH2502" s="4"/>
      <c r="AI2502" s="4"/>
      <c r="AJ2502" s="4"/>
      <c r="AK2502" s="4"/>
      <c r="AL2502" s="4"/>
      <c r="AM2502" s="4"/>
      <c r="AN2502" s="4"/>
      <c r="AO2502" s="4"/>
      <c r="AP2502" s="4"/>
      <c r="AQ2502" s="4"/>
      <c r="AR2502" s="4"/>
      <c r="AS2502" s="4"/>
      <c r="AT2502" s="4"/>
      <c r="AU2502" s="4"/>
      <c r="AV2502" s="4"/>
    </row>
    <row r="2503" spans="4:48" x14ac:dyDescent="0.3">
      <c r="D2503" s="5"/>
      <c r="E2503" s="5"/>
      <c r="F2503" s="20"/>
      <c r="G2503" s="20"/>
      <c r="H2503" s="5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4"/>
      <c r="T2503" s="4"/>
      <c r="U2503" s="4"/>
      <c r="V2503" s="4"/>
      <c r="W2503" s="4"/>
      <c r="X2503" s="4"/>
      <c r="Y2503" s="4"/>
      <c r="Z2503" s="4"/>
      <c r="AA2503" s="4"/>
      <c r="AB2503" s="4"/>
      <c r="AC2503" s="4"/>
      <c r="AD2503" s="4"/>
      <c r="AE2503" s="4"/>
      <c r="AF2503" s="4"/>
      <c r="AG2503" s="4"/>
      <c r="AH2503" s="4"/>
      <c r="AI2503" s="4"/>
      <c r="AJ2503" s="4"/>
      <c r="AK2503" s="4"/>
      <c r="AL2503" s="4"/>
      <c r="AM2503" s="4"/>
      <c r="AN2503" s="4"/>
      <c r="AO2503" s="4"/>
      <c r="AP2503" s="4"/>
      <c r="AQ2503" s="4"/>
      <c r="AR2503" s="4"/>
      <c r="AS2503" s="4"/>
      <c r="AT2503" s="4"/>
      <c r="AU2503" s="4"/>
      <c r="AV2503" s="4"/>
    </row>
    <row r="2504" spans="4:48" x14ac:dyDescent="0.3">
      <c r="D2504" s="5"/>
      <c r="E2504" s="5"/>
      <c r="F2504" s="20"/>
      <c r="G2504" s="20"/>
      <c r="H2504" s="5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4"/>
      <c r="T2504" s="4"/>
      <c r="U2504" s="4"/>
      <c r="V2504" s="4"/>
      <c r="W2504" s="4"/>
      <c r="X2504" s="4"/>
      <c r="Y2504" s="4"/>
      <c r="Z2504" s="4"/>
      <c r="AA2504" s="4"/>
      <c r="AB2504" s="4"/>
      <c r="AC2504" s="4"/>
      <c r="AD2504" s="4"/>
      <c r="AE2504" s="4"/>
      <c r="AF2504" s="4"/>
      <c r="AG2504" s="4"/>
      <c r="AH2504" s="4"/>
      <c r="AI2504" s="4"/>
      <c r="AJ2504" s="4"/>
      <c r="AK2504" s="4"/>
      <c r="AL2504" s="4"/>
      <c r="AM2504" s="4"/>
      <c r="AN2504" s="4"/>
      <c r="AO2504" s="4"/>
      <c r="AP2504" s="4"/>
      <c r="AQ2504" s="4"/>
      <c r="AR2504" s="4"/>
      <c r="AS2504" s="4"/>
      <c r="AT2504" s="4"/>
      <c r="AU2504" s="4"/>
      <c r="AV2504" s="4"/>
    </row>
    <row r="2505" spans="4:48" x14ac:dyDescent="0.3">
      <c r="D2505" s="5"/>
      <c r="E2505" s="5"/>
      <c r="F2505" s="20"/>
      <c r="G2505" s="20"/>
      <c r="H2505" s="5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4"/>
      <c r="T2505" s="4"/>
      <c r="U2505" s="4"/>
      <c r="V2505" s="4"/>
      <c r="W2505" s="4"/>
      <c r="X2505" s="4"/>
      <c r="Y2505" s="4"/>
      <c r="Z2505" s="4"/>
      <c r="AA2505" s="4"/>
      <c r="AB2505" s="4"/>
      <c r="AC2505" s="4"/>
      <c r="AD2505" s="4"/>
      <c r="AE2505" s="4"/>
      <c r="AF2505" s="4"/>
      <c r="AG2505" s="4"/>
      <c r="AH2505" s="4"/>
      <c r="AI2505" s="4"/>
      <c r="AJ2505" s="4"/>
      <c r="AK2505" s="4"/>
      <c r="AL2505" s="4"/>
      <c r="AM2505" s="4"/>
      <c r="AN2505" s="4"/>
      <c r="AO2505" s="4"/>
      <c r="AP2505" s="4"/>
      <c r="AQ2505" s="4"/>
      <c r="AR2505" s="4"/>
      <c r="AS2505" s="4"/>
      <c r="AT2505" s="4"/>
      <c r="AU2505" s="4"/>
      <c r="AV2505" s="4"/>
    </row>
  </sheetData>
  <mergeCells count="10">
    <mergeCell ref="M1:P1"/>
    <mergeCell ref="E29:R29"/>
    <mergeCell ref="M2:O2"/>
    <mergeCell ref="M3:O3"/>
    <mergeCell ref="M4:O4"/>
    <mergeCell ref="E7:G7"/>
    <mergeCell ref="H7:I7"/>
    <mergeCell ref="J7:K7"/>
    <mergeCell ref="E12:G12"/>
    <mergeCell ref="H12:I12"/>
  </mergeCells>
  <dataValidations disablePrompts="1" count="1">
    <dataValidation type="list" allowBlank="1" showInputMessage="1" showErrorMessage="1" sqref="I9" xr:uid="{805BE7C5-B6C1-4541-9EA0-5BF9E8EDFD43}">
      <formula1>"Price,J-Spread,Yield"</formula1>
    </dataValidation>
  </dataValidation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F57867D6-1FFE-4B2D-83C9-A79DF776B8A2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Nick Sejnost</cp:lastModifiedBy>
  <dcterms:created xsi:type="dcterms:W3CDTF">2026-02-06T14:42:31Z</dcterms:created>
  <dcterms:modified xsi:type="dcterms:W3CDTF">2026-03-03T15:45:14Z</dcterms:modified>
</cp:coreProperties>
</file>